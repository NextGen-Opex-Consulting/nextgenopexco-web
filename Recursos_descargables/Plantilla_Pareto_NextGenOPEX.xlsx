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7dc82cb85a53f633/Documentos/NextGen Consulting/NOC Webpage/Video YouTube Pareto/"/>
    </mc:Choice>
  </mc:AlternateContent>
  <xr:revisionPtr revIDLastSave="2" documentId="11_4F8F5F8B1CBDA1EA3C7CB85793FBE11F69FD3C94" xr6:coauthVersionLast="47" xr6:coauthVersionMax="47" xr10:uidLastSave="{4117ABFA-963F-43C0-BA58-6F967AF4D2A6}"/>
  <bookViews>
    <workbookView xWindow="-108" yWindow="-108" windowWidth="23256" windowHeight="12456" tabRatio="500" activeTab="2" xr2:uid="{00000000-000D-0000-FFFF-FFFF00000000}"/>
  </bookViews>
  <sheets>
    <sheet name="Instrucciones" sheetId="1" r:id="rId1"/>
    <sheet name="Hoja de verificación" sheetId="2" r:id="rId2"/>
    <sheet name="Datos" sheetId="3" r:id="rId3"/>
    <sheet name="Pareto frecuencia" sheetId="4" r:id="rId4"/>
    <sheet name="Pareto costo" sheetId="5" r:id="rId5"/>
    <sheet name="2º nivel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6" l="1"/>
  <c r="D16" i="6"/>
  <c r="D15" i="6"/>
  <c r="D14" i="6"/>
  <c r="D13" i="6"/>
  <c r="D12" i="6"/>
  <c r="D11" i="6"/>
  <c r="D10" i="6"/>
  <c r="D9" i="6"/>
  <c r="D17" i="3"/>
  <c r="D17" i="4" s="1"/>
  <c r="H16" i="3"/>
  <c r="G16" i="3"/>
  <c r="F16" i="3"/>
  <c r="H15" i="3"/>
  <c r="G15" i="3"/>
  <c r="F15" i="3"/>
  <c r="H14" i="3"/>
  <c r="G14" i="3"/>
  <c r="F14" i="3"/>
  <c r="G13" i="3"/>
  <c r="F13" i="3"/>
  <c r="G12" i="3"/>
  <c r="F12" i="3"/>
  <c r="G11" i="3"/>
  <c r="F11" i="3"/>
  <c r="G10" i="3"/>
  <c r="F10" i="3"/>
  <c r="G9" i="3"/>
  <c r="F9" i="3"/>
  <c r="H9" i="3" s="1"/>
  <c r="G8" i="3"/>
  <c r="F8" i="3"/>
  <c r="H8" i="3" s="1"/>
  <c r="G7" i="3"/>
  <c r="F7" i="3"/>
  <c r="J18" i="2"/>
  <c r="B18" i="2"/>
  <c r="J17" i="2"/>
  <c r="B17" i="2"/>
  <c r="J16" i="2"/>
  <c r="B16" i="2"/>
  <c r="J15" i="2"/>
  <c r="B15" i="2"/>
  <c r="J14" i="2"/>
  <c r="B14" i="2"/>
  <c r="J13" i="2"/>
  <c r="B13" i="2"/>
  <c r="J12" i="2"/>
  <c r="B12" i="2"/>
  <c r="J11" i="2"/>
  <c r="B11" i="2"/>
  <c r="J10" i="2"/>
  <c r="B10" i="2"/>
  <c r="J9" i="2"/>
  <c r="B9" i="2"/>
  <c r="G16" i="6" l="1"/>
  <c r="F16" i="6"/>
  <c r="G15" i="6"/>
  <c r="F15" i="6"/>
  <c r="G10" i="6"/>
  <c r="F10" i="6"/>
  <c r="G14" i="6"/>
  <c r="F14" i="6"/>
  <c r="G13" i="6"/>
  <c r="F13" i="6"/>
  <c r="G12" i="6"/>
  <c r="F12" i="6"/>
  <c r="G11" i="6"/>
  <c r="F11" i="6"/>
  <c r="F9" i="6"/>
  <c r="G9" i="6"/>
  <c r="C16" i="4"/>
  <c r="D15" i="4"/>
  <c r="C15" i="4"/>
  <c r="C11" i="4"/>
  <c r="C14" i="4"/>
  <c r="C13" i="4"/>
  <c r="D12" i="4"/>
  <c r="C12" i="4"/>
  <c r="D11" i="4"/>
  <c r="D10" i="4"/>
  <c r="D13" i="4"/>
  <c r="D14" i="4"/>
  <c r="D9" i="4"/>
  <c r="C9" i="4"/>
  <c r="D8" i="4"/>
  <c r="C8" i="4"/>
  <c r="C10" i="4"/>
  <c r="C7" i="4"/>
  <c r="D16" i="4"/>
  <c r="D7" i="4"/>
  <c r="H7" i="3"/>
  <c r="H11" i="3"/>
  <c r="F17" i="3"/>
  <c r="D17" i="5" s="1"/>
  <c r="H10" i="3"/>
  <c r="H12" i="3"/>
  <c r="H13" i="3"/>
  <c r="H16" i="6" l="1"/>
  <c r="J16" i="6"/>
  <c r="H15" i="6"/>
  <c r="J15" i="6"/>
  <c r="H10" i="6"/>
  <c r="H14" i="6"/>
  <c r="J14" i="6"/>
  <c r="H13" i="6"/>
  <c r="J13" i="6"/>
  <c r="H12" i="6"/>
  <c r="H11" i="6"/>
  <c r="H9" i="6"/>
  <c r="I9" i="6"/>
  <c r="J9" i="6"/>
  <c r="E15" i="4"/>
  <c r="G15" i="4"/>
  <c r="E12" i="4"/>
  <c r="E11" i="4"/>
  <c r="E10" i="4"/>
  <c r="E13" i="4"/>
  <c r="E14" i="4"/>
  <c r="G14" i="4"/>
  <c r="E9" i="4"/>
  <c r="E8" i="4"/>
  <c r="E16" i="4"/>
  <c r="G16" i="4"/>
  <c r="E7" i="4"/>
  <c r="F7" i="4"/>
  <c r="G7" i="4"/>
  <c r="C7" i="5"/>
  <c r="D7" i="5"/>
  <c r="C8" i="5"/>
  <c r="D8" i="5"/>
  <c r="C9" i="5"/>
  <c r="D9" i="5"/>
  <c r="C10" i="5"/>
  <c r="D10" i="5"/>
  <c r="C11" i="5"/>
  <c r="D12" i="5"/>
  <c r="C13" i="5"/>
  <c r="D13" i="5"/>
  <c r="D11" i="5"/>
  <c r="C12" i="5"/>
  <c r="C14" i="5"/>
  <c r="D14" i="5"/>
  <c r="C15" i="5"/>
  <c r="D15" i="5"/>
  <c r="C16" i="5"/>
  <c r="D16" i="5"/>
  <c r="E7" i="5" l="1"/>
  <c r="F7" i="5" s="1"/>
  <c r="G7" i="5"/>
  <c r="E8" i="5"/>
  <c r="E9" i="5"/>
  <c r="E10" i="5"/>
  <c r="E12" i="5"/>
  <c r="E13" i="5"/>
  <c r="E11" i="5"/>
  <c r="E14" i="5"/>
  <c r="G14" i="5"/>
  <c r="E15" i="5"/>
  <c r="G15" i="5"/>
  <c r="E16" i="5"/>
  <c r="G16" i="5"/>
  <c r="J10" i="6"/>
  <c r="I10" i="6"/>
  <c r="G8" i="4"/>
  <c r="F8" i="4"/>
  <c r="G8" i="5" l="1"/>
  <c r="F8" i="5"/>
  <c r="I11" i="6"/>
  <c r="J11" i="6"/>
  <c r="G9" i="4"/>
  <c r="F9" i="4"/>
  <c r="F9" i="5" l="1"/>
  <c r="G9" i="5"/>
  <c r="I12" i="6"/>
  <c r="I13" i="6" s="1"/>
  <c r="I14" i="6" s="1"/>
  <c r="I15" i="6" s="1"/>
  <c r="I16" i="6" s="1"/>
  <c r="J12" i="6"/>
  <c r="G10" i="4"/>
  <c r="F10" i="4"/>
  <c r="F10" i="5" l="1"/>
  <c r="G10" i="5"/>
  <c r="G11" i="4"/>
  <c r="F11" i="4"/>
  <c r="G11" i="5" l="1"/>
  <c r="F11" i="5"/>
  <c r="F12" i="4"/>
  <c r="G12" i="4"/>
  <c r="F12" i="5" l="1"/>
  <c r="G12" i="5"/>
  <c r="G13" i="4"/>
  <c r="F13" i="4"/>
  <c r="F14" i="4" s="1"/>
  <c r="F15" i="4" s="1"/>
  <c r="F16" i="4" s="1"/>
  <c r="G13" i="5" l="1"/>
  <c r="F13" i="5"/>
  <c r="F14" i="5" s="1"/>
  <c r="F15" i="5" s="1"/>
  <c r="F1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200-000001000000}">
      <text>
        <r>
          <rPr>
            <sz val="10"/>
            <rFont val="Arial"/>
            <family val="2"/>
          </rPr>
          <t>Ejemplo de formato: nombre corto y sin traslape con otras categorías.</t>
        </r>
      </text>
    </comment>
  </commentList>
</comments>
</file>

<file path=xl/sharedStrings.xml><?xml version="1.0" encoding="utf-8"?>
<sst xmlns="http://schemas.openxmlformats.org/spreadsheetml/2006/main" count="101" uniqueCount="79">
  <si>
    <t>Plantilla de Diagrama de Pareto</t>
  </si>
  <si>
    <t>Encuentra los pocos problemas vitales que explican la mayor parte del impacto.</t>
  </si>
  <si>
    <t>NextGen OPEX Consulting · nextgenopexco.com</t>
  </si>
  <si>
    <t>Cómo usarla</t>
  </si>
  <si>
    <t>1</t>
  </si>
  <si>
    <t>Define qué vas a medir y en qué periodo (ej. defectos de rechazo, 4 semanas). Usa categorías claras que no se traslapen.</t>
  </si>
  <si>
    <t>2</t>
  </si>
  <si>
    <t>Recolecta datos con la «Hoja de verificación» (imprímela y llénala en piso), o captura directo en «Datos».</t>
  </si>
  <si>
    <t>3</t>
  </si>
  <si>
    <t>En la hoja «Datos», escribe en las celdas AMARILLAS: categoría, frecuencia y costo unitario. Deja «Otros» como última categoría.</t>
  </si>
  <si>
    <t>4</t>
  </si>
  <si>
    <t>Las hojas «Pareto frecuencia» y «Pareto costo» se ordenan solas y calculan % y % acumulado. No escribas en ellas.</t>
  </si>
  <si>
    <t>5</t>
  </si>
  <si>
    <t>Ataca primero las categorías marcadas como «Vital» (las que suman hasta ~80%). Compara frecuencia vs. costo: a veces cambian las prioridades.</t>
  </si>
  <si>
    <t>6</t>
  </si>
  <si>
    <t>Pareto de 2º nivel: toma la categoría #1 y estratifícala (por máquina, turno, producto…) en la hoja «2º nivel».</t>
  </si>
  <si>
    <t>Leyenda</t>
  </si>
  <si>
    <t>Celda amarilla = dato que tú capturas. Todo lo demás se calcula con fórmulas.</t>
  </si>
  <si>
    <t>Fila verde = categoría «Vital» (el % acumulado antes de ella era menor a 80%).</t>
  </si>
  <si>
    <t>Notas</t>
  </si>
  <si>
    <t>• La plantilla viene llena con un caso de ejemplo (datos ilustrativos de una línea de inyección de plástico, 4 semanas). Sustitúyelo por tus datos.</t>
  </si>
  <si>
    <t>• El 80/20 es una regla práctica, no una ley exacta: lo importante es separar los pocos vitales de los muchos triviales.</t>
  </si>
  <si>
    <t>• Si «Otros» supera ~10% del total, divide esa categoría: está escondiendo información.</t>
  </si>
  <si>
    <t>• Después de implementar acciones, repite el Pareto con datos nuevos para verificar que la barra atacada sí bajó.</t>
  </si>
  <si>
    <t>Hoja de verificación</t>
  </si>
  <si>
    <t>Imprímela y marca una raya por cada pieza rechazada. Al final de la semana, suma y captura en «Datos».</t>
  </si>
  <si>
    <t>Proceso / línea:</t>
  </si>
  <si>
    <t>Semana:</t>
  </si>
  <si>
    <t>Responsable:</t>
  </si>
  <si>
    <t>Categoría de defecto</t>
  </si>
  <si>
    <t>Lun</t>
  </si>
  <si>
    <t>Mar</t>
  </si>
  <si>
    <t>Mié</t>
  </si>
  <si>
    <t>Jue</t>
  </si>
  <si>
    <t>Vie</t>
  </si>
  <si>
    <t>Sáb</t>
  </si>
  <si>
    <t>Dom</t>
  </si>
  <si>
    <t>Total</t>
  </si>
  <si>
    <t>Tip: las categorías vienen de la hoja «Datos». Puedes escribir números en lugar de rayas.</t>
  </si>
  <si>
    <t>Datos de entrada</t>
  </si>
  <si>
    <t>Captura una fila por categoría. Deja «Otros» al final. Máximo 10 categorías.</t>
  </si>
  <si>
    <t>#</t>
  </si>
  <si>
    <t>Categoría</t>
  </si>
  <si>
    <t>Frecuencia (pzas)</t>
  </si>
  <si>
    <t>Costo unitario ($/pza)</t>
  </si>
  <si>
    <t>Costo total ($)</t>
  </si>
  <si>
    <t>Rank frec.</t>
  </si>
  <si>
    <t>Rank costo</t>
  </si>
  <si>
    <t>Rebaba</t>
  </si>
  <si>
    <t>Rayón</t>
  </si>
  <si>
    <t>Mancha</t>
  </si>
  <si>
    <t>Pieza incompleta</t>
  </si>
  <si>
    <t>Burbuja</t>
  </si>
  <si>
    <t>Dimensión fuera de tolerancia</t>
  </si>
  <si>
    <t>Otros</t>
  </si>
  <si>
    <t>TOTAL</t>
  </si>
  <si>
    <t>Datos de ejemplo (ilustrativos): línea de inyección de plástico, 4 semanas de rechazos. Reemplázalos por los tuyos.</t>
  </si>
  <si>
    <t>«Otros» siempre se ordena al final. Las columnas Rank se calculan solas.</t>
  </si>
  <si>
    <t>Pareto por frecuencia</t>
  </si>
  <si>
    <t>Se ordena sola a partir de la hoja «Datos». No escribas aquí.</t>
  </si>
  <si>
    <t>Orden</t>
  </si>
  <si>
    <t>%</t>
  </si>
  <si>
    <t>% acumulado</t>
  </si>
  <si>
    <t>Clase</t>
  </si>
  <si>
    <t>Las categorías «Vital» suman ~80% del total. Si usas menos de 10 categorías, la línea se mantiene en 100% a la derecha: es normal.</t>
  </si>
  <si>
    <t>Pareto por costo</t>
  </si>
  <si>
    <t>Costo ($)</t>
  </si>
  <si>
    <t>Pareto de 2º nivel</t>
  </si>
  <si>
    <t>Estratifica la categoría #1 (por máquina, turno, producto, molde…).</t>
  </si>
  <si>
    <t>Categoría analizada:</t>
  </si>
  <si>
    <t>Pieza incompleta (por máquina)</t>
  </si>
  <si>
    <t>Estrato</t>
  </si>
  <si>
    <t>Frecuencia</t>
  </si>
  <si>
    <t>% acum.</t>
  </si>
  <si>
    <t>Máquina 3</t>
  </si>
  <si>
    <t>Máquina 1</t>
  </si>
  <si>
    <t>Máquina 2</t>
  </si>
  <si>
    <t>Máquina 4</t>
  </si>
  <si>
    <t>Ejemplo ilustrativo. La columna D (rank) es auxiliar: no la borres.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</si>
</sst>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#,##0;&quot;-$&quot;#,##0;&quot;&quot;"/>
    <numFmt numFmtId="166" formatCode="\$#,##0"/>
    <numFmt numFmtId="167" formatCode="0.0%"/>
  </numFmts>
  <fonts count="17" x14ac:knownFonts="1">
    <font>
      <sz val="11"/>
      <color theme="1"/>
      <name val="Calibri"/>
      <family val="2"/>
      <charset val="1"/>
    </font>
    <font>
      <b/>
      <sz val="18"/>
      <color rgb="FF0A1640"/>
      <name val="Arial"/>
      <charset val="1"/>
    </font>
    <font>
      <sz val="10"/>
      <color rgb="FF5B6577"/>
      <name val="Arial"/>
      <charset val="1"/>
    </font>
    <font>
      <b/>
      <sz val="9"/>
      <color rgb="FF6DBE45"/>
      <name val="Arial"/>
      <charset val="1"/>
    </font>
    <font>
      <b/>
      <sz val="12"/>
      <color rgb="FF0A164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1"/>
      <color rgb="FF008000"/>
      <name val="Arial"/>
      <charset val="1"/>
    </font>
    <font>
      <i/>
      <sz val="9"/>
      <color rgb="FF5B6577"/>
      <name val="Arial"/>
      <charset val="1"/>
    </font>
    <font>
      <sz val="11"/>
      <color rgb="FF5B6577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sz val="11"/>
      <color rgb="FF000000"/>
      <name val="Arial"/>
      <charset val="1"/>
    </font>
    <font>
      <sz val="10"/>
      <name val="Arial"/>
      <family val="2"/>
    </font>
    <font>
      <sz val="8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6DBE45"/>
        <bgColor rgb="FF339966"/>
      </patternFill>
    </fill>
    <fill>
      <patternFill patternType="solid">
        <fgColor rgb="FFFFF2B3"/>
        <bgColor rgb="FFFFFF99"/>
      </patternFill>
    </fill>
    <fill>
      <patternFill patternType="solid">
        <fgColor rgb="FFE3F4DA"/>
        <bgColor rgb="FFF9F9F9"/>
      </patternFill>
    </fill>
    <fill>
      <patternFill patternType="solid">
        <fgColor rgb="FF0A1640"/>
        <bgColor rgb="FF000000"/>
      </patternFill>
    </fill>
  </fills>
  <borders count="3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  <border>
      <left/>
      <right/>
      <top/>
      <bottom style="thin">
        <color rgb="FFC9D3E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3" borderId="1" xfId="0" applyFill="1" applyBorder="1"/>
    <xf numFmtId="0" fontId="6" fillId="0" borderId="0" xfId="0" applyFont="1"/>
    <xf numFmtId="0" fontId="0" fillId="4" borderId="1" xfId="0" applyFill="1" applyBorder="1"/>
    <xf numFmtId="0" fontId="7" fillId="0" borderId="0" xfId="0" applyFont="1"/>
    <xf numFmtId="0" fontId="0" fillId="0" borderId="2" xfId="0" applyBorder="1"/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0" fillId="0" borderId="1" xfId="0" applyBorder="1"/>
    <xf numFmtId="0" fontId="7" fillId="0" borderId="1" xfId="0" applyFont="1" applyBorder="1"/>
    <xf numFmtId="0" fontId="10" fillId="0" borderId="0" xfId="0" applyFont="1"/>
    <xf numFmtId="0" fontId="11" fillId="0" borderId="1" xfId="0" applyFont="1" applyBorder="1"/>
    <xf numFmtId="0" fontId="12" fillId="3" borderId="1" xfId="0" applyFont="1" applyFill="1" applyBorder="1"/>
    <xf numFmtId="3" fontId="12" fillId="3" borderId="1" xfId="0" applyNumberFormat="1" applyFont="1" applyFill="1" applyBorder="1"/>
    <xf numFmtId="164" fontId="12" fillId="3" borderId="1" xfId="0" applyNumberFormat="1" applyFont="1" applyFill="1" applyBorder="1"/>
    <xf numFmtId="165" fontId="13" fillId="0" borderId="1" xfId="0" applyNumberFormat="1" applyFont="1" applyBorder="1"/>
    <xf numFmtId="0" fontId="14" fillId="0" borderId="1" xfId="0" applyFont="1" applyBorder="1"/>
    <xf numFmtId="3" fontId="7" fillId="0" borderId="1" xfId="0" applyNumberFormat="1" applyFont="1" applyBorder="1"/>
    <xf numFmtId="166" fontId="7" fillId="0" borderId="1" xfId="0" applyNumberFormat="1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3" fontId="13" fillId="0" borderId="1" xfId="0" applyNumberFormat="1" applyFont="1" applyBorder="1"/>
    <xf numFmtId="167" fontId="13" fillId="0" borderId="1" xfId="0" applyNumberFormat="1" applyFont="1" applyBorder="1"/>
    <xf numFmtId="3" fontId="7" fillId="0" borderId="0" xfId="0" applyNumberFormat="1" applyFont="1"/>
    <xf numFmtId="166" fontId="13" fillId="0" borderId="1" xfId="0" applyNumberFormat="1" applyFont="1" applyBorder="1"/>
    <xf numFmtId="166" fontId="7" fillId="0" borderId="0" xfId="0" applyNumberFormat="1" applyFont="1"/>
    <xf numFmtId="0" fontId="12" fillId="3" borderId="0" xfId="0" applyFont="1" applyFill="1"/>
    <xf numFmtId="0" fontId="16" fillId="0" borderId="0" xfId="0" applyFont="1"/>
  </cellXfs>
  <cellStyles count="1">
    <cellStyle name="Normal" xfId="0" builtinId="0"/>
  </cellStyles>
  <dxfs count="3">
    <dxf>
      <font>
        <b/>
        <color rgb="FF1E5B12"/>
        <name val="Arial"/>
        <charset val="1"/>
      </font>
      <fill>
        <patternFill>
          <bgColor rgb="FFE3F4DA"/>
        </patternFill>
      </fill>
    </dxf>
    <dxf>
      <font>
        <b/>
        <color rgb="FF1E5B12"/>
        <name val="Arial"/>
        <charset val="1"/>
      </font>
      <fill>
        <patternFill>
          <bgColor rgb="FFE3F4DA"/>
        </patternFill>
      </fill>
    </dxf>
    <dxf>
      <font>
        <b/>
        <color rgb="FF1E5B12"/>
        <name val="Arial"/>
        <charset val="1"/>
      </font>
      <fill>
        <patternFill>
          <bgColor rgb="FFE3F4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B3"/>
      <rgbColor rgb="FFF9F9F9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4DA"/>
      <rgbColor rgb="FFFFFF99"/>
      <rgbColor rgb="FF99CCFF"/>
      <rgbColor rgb="FFFF99CC"/>
      <rgbColor rgb="FFCC99FF"/>
      <rgbColor rgb="FFFFCC99"/>
      <rgbColor rgb="FF3366FF"/>
      <rgbColor rgb="FF33CCCC"/>
      <rgbColor rgb="FF6DBE45"/>
      <rgbColor rgb="FFFFCC00"/>
      <rgbColor rgb="FFFF9900"/>
      <rgbColor rgb="FFFF6600"/>
      <rgbColor rgb="FF5B6577"/>
      <rgbColor rgb="FF969696"/>
      <rgbColor rgb="FF0A1640"/>
      <rgbColor rgb="FF339966"/>
      <rgbColor rgb="FF003300"/>
      <rgbColor rgb="FF1E5B1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Pareto por frecuencia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frecuencia'!$D$6</c:f>
              <c:strCache>
                <c:ptCount val="1"/>
                <c:pt idx="0">
                  <c:v>Frecuencia (pzas)</c:v>
                </c:pt>
              </c:strCache>
            </c:strRef>
          </c:tx>
          <c:spPr>
            <a:solidFill>
              <a:srgbClr val="0A1640"/>
            </a:solidFill>
            <a:ln w="9360">
              <a:solidFill>
                <a:srgbClr val="0A164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frecuencia'!$C$7:$C$16</c:f>
              <c:strCache>
                <c:ptCount val="7"/>
                <c:pt idx="0">
                  <c:v>Rebaba</c:v>
                </c:pt>
                <c:pt idx="1">
                  <c:v>Rayón</c:v>
                </c:pt>
                <c:pt idx="2">
                  <c:v>Mancha</c:v>
                </c:pt>
                <c:pt idx="3">
                  <c:v>Pieza incompleta</c:v>
                </c:pt>
                <c:pt idx="4">
                  <c:v>Burbuja</c:v>
                </c:pt>
                <c:pt idx="5">
                  <c:v>Dimensión fuera de tolerancia</c:v>
                </c:pt>
                <c:pt idx="6">
                  <c:v>Otros</c:v>
                </c:pt>
              </c:strCache>
            </c:strRef>
          </c:cat>
          <c:val>
            <c:numRef>
              <c:f>'Pareto frecuencia'!$D$7:$D$16</c:f>
              <c:numCache>
                <c:formatCode>#,##0</c:formatCode>
                <c:ptCount val="10"/>
                <c:pt idx="0">
                  <c:v>420</c:v>
                </c:pt>
                <c:pt idx="1">
                  <c:v>310</c:v>
                </c:pt>
                <c:pt idx="2">
                  <c:v>180</c:v>
                </c:pt>
                <c:pt idx="3">
                  <c:v>150</c:v>
                </c:pt>
                <c:pt idx="4">
                  <c:v>90</c:v>
                </c:pt>
                <c:pt idx="5">
                  <c:v>60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8-4D09-B03B-A25B943C9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6792464"/>
        <c:axId val="54811841"/>
      </c:barChart>
      <c:lineChart>
        <c:grouping val="standard"/>
        <c:varyColors val="0"/>
        <c:ser>
          <c:idx val="1"/>
          <c:order val="1"/>
          <c:tx>
            <c:strRef>
              <c:f>'Pareto frecuencia'!$F$6</c:f>
              <c:strCache>
                <c:ptCount val="1"/>
                <c:pt idx="0">
                  <c:v>% acumulado</c:v>
                </c:pt>
              </c:strCache>
            </c:strRef>
          </c:tx>
          <c:spPr>
            <a:ln w="28080">
              <a:solidFill>
                <a:srgbClr val="6DBE45"/>
              </a:solidFill>
              <a:round/>
            </a:ln>
          </c:spPr>
          <c:marker>
            <c:symbol val="circle"/>
            <c:size val="6"/>
            <c:spPr>
              <a:solidFill>
                <a:srgbClr val="6DBE4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frecuencia'!$C$7:$C$16</c:f>
              <c:strCache>
                <c:ptCount val="7"/>
                <c:pt idx="0">
                  <c:v>Rebaba</c:v>
                </c:pt>
                <c:pt idx="1">
                  <c:v>Rayón</c:v>
                </c:pt>
                <c:pt idx="2">
                  <c:v>Mancha</c:v>
                </c:pt>
                <c:pt idx="3">
                  <c:v>Pieza incompleta</c:v>
                </c:pt>
                <c:pt idx="4">
                  <c:v>Burbuja</c:v>
                </c:pt>
                <c:pt idx="5">
                  <c:v>Dimensión fuera de tolerancia</c:v>
                </c:pt>
                <c:pt idx="6">
                  <c:v>Otros</c:v>
                </c:pt>
              </c:strCache>
            </c:strRef>
          </c:cat>
          <c:val>
            <c:numRef>
              <c:f>'Pareto frecuencia'!$F$7:$F$16</c:f>
              <c:numCache>
                <c:formatCode>0.0%</c:formatCode>
                <c:ptCount val="10"/>
                <c:pt idx="0">
                  <c:v>0.33600000000000002</c:v>
                </c:pt>
                <c:pt idx="1">
                  <c:v>0.58400000000000007</c:v>
                </c:pt>
                <c:pt idx="2">
                  <c:v>0.72800000000000009</c:v>
                </c:pt>
                <c:pt idx="3">
                  <c:v>0.84800000000000009</c:v>
                </c:pt>
                <c:pt idx="4">
                  <c:v>0.92</c:v>
                </c:pt>
                <c:pt idx="5">
                  <c:v>0.96800000000000008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B78-4D09-B03B-A25B943C9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962537"/>
        <c:axId val="92707564"/>
      </c:lineChart>
      <c:catAx>
        <c:axId val="2679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811841"/>
        <c:crosses val="autoZero"/>
        <c:auto val="1"/>
        <c:lblAlgn val="ctr"/>
        <c:lblOffset val="100"/>
        <c:noMultiLvlLbl val="0"/>
      </c:catAx>
      <c:valAx>
        <c:axId val="5481184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Frecuencia (pzas)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792464"/>
        <c:crosses val="autoZero"/>
        <c:crossBetween val="between"/>
      </c:valAx>
      <c:catAx>
        <c:axId val="219625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707564"/>
        <c:crosses val="autoZero"/>
        <c:auto val="1"/>
        <c:lblAlgn val="ctr"/>
        <c:lblOffset val="100"/>
        <c:noMultiLvlLbl val="0"/>
      </c:catAx>
      <c:valAx>
        <c:axId val="92707564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acumulado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96253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Pareto por costo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costo'!$D$6</c:f>
              <c:strCache>
                <c:ptCount val="1"/>
                <c:pt idx="0">
                  <c:v>Costo ($)</c:v>
                </c:pt>
              </c:strCache>
            </c:strRef>
          </c:tx>
          <c:spPr>
            <a:solidFill>
              <a:srgbClr val="0A1640"/>
            </a:solidFill>
            <a:ln w="9360">
              <a:solidFill>
                <a:srgbClr val="0A164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costo'!$C$7:$C$16</c:f>
              <c:strCache>
                <c:ptCount val="7"/>
                <c:pt idx="0">
                  <c:v>Pieza incompleta</c:v>
                </c:pt>
                <c:pt idx="1">
                  <c:v>Dimensión fuera de tolerancia</c:v>
                </c:pt>
                <c:pt idx="2">
                  <c:v>Rebaba</c:v>
                </c:pt>
                <c:pt idx="3">
                  <c:v>Rayón</c:v>
                </c:pt>
                <c:pt idx="4">
                  <c:v>Mancha</c:v>
                </c:pt>
                <c:pt idx="5">
                  <c:v>Burbuja</c:v>
                </c:pt>
                <c:pt idx="6">
                  <c:v>Otros</c:v>
                </c:pt>
              </c:strCache>
            </c:strRef>
          </c:cat>
          <c:val>
            <c:numRef>
              <c:f>'Pareto costo'!$D$7:$D$16</c:f>
              <c:numCache>
                <c:formatCode>\$#,##0</c:formatCode>
                <c:ptCount val="10"/>
                <c:pt idx="0">
                  <c:v>4200</c:v>
                </c:pt>
                <c:pt idx="1">
                  <c:v>2700</c:v>
                </c:pt>
                <c:pt idx="2">
                  <c:v>2520</c:v>
                </c:pt>
                <c:pt idx="3">
                  <c:v>1240</c:v>
                </c:pt>
                <c:pt idx="4">
                  <c:v>900</c:v>
                </c:pt>
                <c:pt idx="5">
                  <c:v>900</c:v>
                </c:pt>
                <c:pt idx="6">
                  <c:v>320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1-4FC6-872A-19210A2ED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9461045"/>
        <c:axId val="90795196"/>
      </c:barChart>
      <c:lineChart>
        <c:grouping val="standard"/>
        <c:varyColors val="0"/>
        <c:ser>
          <c:idx val="1"/>
          <c:order val="1"/>
          <c:tx>
            <c:strRef>
              <c:f>'Pareto costo'!$F$6</c:f>
              <c:strCache>
                <c:ptCount val="1"/>
                <c:pt idx="0">
                  <c:v>% acumulado</c:v>
                </c:pt>
              </c:strCache>
            </c:strRef>
          </c:tx>
          <c:spPr>
            <a:ln w="28080">
              <a:solidFill>
                <a:srgbClr val="6DBE45"/>
              </a:solidFill>
              <a:round/>
            </a:ln>
          </c:spPr>
          <c:marker>
            <c:symbol val="circle"/>
            <c:size val="6"/>
            <c:spPr>
              <a:solidFill>
                <a:srgbClr val="6DBE4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costo'!$C$7:$C$16</c:f>
              <c:strCache>
                <c:ptCount val="7"/>
                <c:pt idx="0">
                  <c:v>Pieza incompleta</c:v>
                </c:pt>
                <c:pt idx="1">
                  <c:v>Dimensión fuera de tolerancia</c:v>
                </c:pt>
                <c:pt idx="2">
                  <c:v>Rebaba</c:v>
                </c:pt>
                <c:pt idx="3">
                  <c:v>Rayón</c:v>
                </c:pt>
                <c:pt idx="4">
                  <c:v>Mancha</c:v>
                </c:pt>
                <c:pt idx="5">
                  <c:v>Burbuja</c:v>
                </c:pt>
                <c:pt idx="6">
                  <c:v>Otros</c:v>
                </c:pt>
              </c:strCache>
            </c:strRef>
          </c:cat>
          <c:val>
            <c:numRef>
              <c:f>'Pareto costo'!$F$7:$F$16</c:f>
              <c:numCache>
                <c:formatCode>0.0%</c:formatCode>
                <c:ptCount val="10"/>
                <c:pt idx="0">
                  <c:v>0.32863849765258218</c:v>
                </c:pt>
                <c:pt idx="1">
                  <c:v>0.539906103286385</c:v>
                </c:pt>
                <c:pt idx="2">
                  <c:v>0.73708920187793425</c:v>
                </c:pt>
                <c:pt idx="3">
                  <c:v>0.8341158059467918</c:v>
                </c:pt>
                <c:pt idx="4">
                  <c:v>0.90453834115805942</c:v>
                </c:pt>
                <c:pt idx="5">
                  <c:v>0.97496087636932705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B11-4FC6-872A-19210A2ED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2941911"/>
        <c:axId val="14772864"/>
      </c:lineChart>
      <c:catAx>
        <c:axId val="194610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795196"/>
        <c:crosses val="autoZero"/>
        <c:auto val="1"/>
        <c:lblAlgn val="ctr"/>
        <c:lblOffset val="100"/>
        <c:noMultiLvlLbl val="0"/>
      </c:catAx>
      <c:valAx>
        <c:axId val="9079519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Costo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461045"/>
        <c:crosses val="autoZero"/>
        <c:crossBetween val="between"/>
      </c:valAx>
      <c:catAx>
        <c:axId val="22941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772864"/>
        <c:crosses val="autoZero"/>
        <c:auto val="1"/>
        <c:lblAlgn val="ctr"/>
        <c:lblOffset val="100"/>
        <c:noMultiLvlLbl val="0"/>
      </c:catAx>
      <c:valAx>
        <c:axId val="14772864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acumulado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4191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Pareto de 2º nivel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'2º nivel'!$G$8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0A164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'2º nivel'!$F$9:$F$16</c:f>
              <c:strCache>
                <c:ptCount val="4"/>
                <c:pt idx="0">
                  <c:v>Máquina 3</c:v>
                </c:pt>
                <c:pt idx="1">
                  <c:v>Máquina 1</c:v>
                </c:pt>
                <c:pt idx="2">
                  <c:v>Máquina 2</c:v>
                </c:pt>
                <c:pt idx="3">
                  <c:v>Máquina 4</c:v>
                </c:pt>
              </c:strCache>
            </c:strRef>
          </c:cat>
          <c:val>
            <c:numRef>
              <c:f>'2º nivel'!$G$9:$G$16</c:f>
              <c:numCache>
                <c:formatCode>#,##0</c:formatCode>
                <c:ptCount val="8"/>
                <c:pt idx="0">
                  <c:v>92</c:v>
                </c:pt>
                <c:pt idx="1">
                  <c:v>31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0-4FEA-8F13-6206DB4B0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060337"/>
        <c:axId val="6349949"/>
      </c:barChart>
      <c:lineChart>
        <c:grouping val="standard"/>
        <c:varyColors val="0"/>
        <c:ser>
          <c:idx val="1"/>
          <c:order val="1"/>
          <c:tx>
            <c:strRef>
              <c:f>'2º nivel'!$I$8</c:f>
              <c:strCache>
                <c:ptCount val="1"/>
                <c:pt idx="0">
                  <c:v>% acum.</c:v>
                </c:pt>
              </c:strCache>
            </c:strRef>
          </c:tx>
          <c:spPr>
            <a:ln w="28080">
              <a:solidFill>
                <a:srgbClr val="6DBE45"/>
              </a:solidFill>
              <a:round/>
            </a:ln>
          </c:spPr>
          <c:marker>
            <c:symbol val="circle"/>
            <c:size val="5"/>
            <c:spPr>
              <a:solidFill>
                <a:srgbClr val="6DBE4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'2º nivel'!$F$9:$F$16</c:f>
              <c:strCache>
                <c:ptCount val="4"/>
                <c:pt idx="0">
                  <c:v>Máquina 3</c:v>
                </c:pt>
                <c:pt idx="1">
                  <c:v>Máquina 1</c:v>
                </c:pt>
                <c:pt idx="2">
                  <c:v>Máquina 2</c:v>
                </c:pt>
                <c:pt idx="3">
                  <c:v>Máquina 4</c:v>
                </c:pt>
              </c:strCache>
            </c:strRef>
          </c:cat>
          <c:val>
            <c:numRef>
              <c:f>'2º nivel'!$I$9:$I$16</c:f>
              <c:numCache>
                <c:formatCode>0.0%</c:formatCode>
                <c:ptCount val="8"/>
                <c:pt idx="0">
                  <c:v>0.61333333333333329</c:v>
                </c:pt>
                <c:pt idx="1">
                  <c:v>0.82</c:v>
                </c:pt>
                <c:pt idx="2">
                  <c:v>0.94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F0-4FEA-8F13-6206DB4B0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956928"/>
        <c:axId val="52040479"/>
      </c:lineChart>
      <c:catAx>
        <c:axId val="100603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49949"/>
        <c:crosses val="autoZero"/>
        <c:auto val="1"/>
        <c:lblAlgn val="ctr"/>
        <c:lblOffset val="100"/>
        <c:noMultiLvlLbl val="0"/>
      </c:catAx>
      <c:valAx>
        <c:axId val="634994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060337"/>
        <c:crosses val="autoZero"/>
        <c:crossBetween val="between"/>
      </c:valAx>
      <c:catAx>
        <c:axId val="5495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040479"/>
        <c:crosses val="autoZero"/>
        <c:auto val="1"/>
        <c:lblAlgn val="ctr"/>
        <c:lblOffset val="100"/>
        <c:noMultiLvlLbl val="0"/>
      </c:catAx>
      <c:valAx>
        <c:axId val="52040479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95692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100800</xdr:rowOff>
    </xdr:from>
    <xdr:to>
      <xdr:col>10</xdr:col>
      <xdr:colOff>579600</xdr:colOff>
      <xdr:row>39</xdr:row>
      <xdr:rowOff>60120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100800</xdr:rowOff>
    </xdr:from>
    <xdr:to>
      <xdr:col>10</xdr:col>
      <xdr:colOff>579600</xdr:colOff>
      <xdr:row>39</xdr:row>
      <xdr:rowOff>60120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100800</xdr:rowOff>
    </xdr:from>
    <xdr:to>
      <xdr:col>9</xdr:col>
      <xdr:colOff>236520</xdr:colOff>
      <xdr:row>37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1640"/>
    <pageSetUpPr fitToPage="1"/>
  </sheetPr>
  <dimension ref="B2:C22"/>
  <sheetViews>
    <sheetView showGridLines="0" topLeftCell="A12" zoomScaleNormal="100" workbookViewId="0"/>
  </sheetViews>
  <sheetFormatPr baseColWidth="10" defaultColWidth="8.6640625" defaultRowHeight="14.4" x14ac:dyDescent="0.3"/>
  <cols>
    <col min="1" max="1" width="3" customWidth="1"/>
    <col min="2" max="2" width="6" customWidth="1"/>
    <col min="3" max="3" width="95" customWidth="1"/>
  </cols>
  <sheetData>
    <row r="2" spans="2:3" ht="22.8" x14ac:dyDescent="0.4">
      <c r="B2" s="1" t="s">
        <v>0</v>
      </c>
    </row>
    <row r="3" spans="2:3" x14ac:dyDescent="0.3">
      <c r="B3" s="2" t="s">
        <v>1</v>
      </c>
    </row>
    <row r="4" spans="2:3" x14ac:dyDescent="0.3">
      <c r="B4" s="3" t="s">
        <v>2</v>
      </c>
    </row>
    <row r="6" spans="2:3" ht="15.6" x14ac:dyDescent="0.3">
      <c r="B6" s="4" t="s">
        <v>3</v>
      </c>
    </row>
    <row r="7" spans="2:3" ht="31.5" customHeight="1" x14ac:dyDescent="0.3">
      <c r="B7" s="5" t="s">
        <v>4</v>
      </c>
      <c r="C7" s="6" t="s">
        <v>5</v>
      </c>
    </row>
    <row r="8" spans="2:3" ht="31.5" customHeight="1" x14ac:dyDescent="0.3">
      <c r="B8" s="5" t="s">
        <v>6</v>
      </c>
      <c r="C8" s="6" t="s">
        <v>7</v>
      </c>
    </row>
    <row r="9" spans="2:3" ht="31.5" customHeight="1" x14ac:dyDescent="0.3">
      <c r="B9" s="5" t="s">
        <v>8</v>
      </c>
      <c r="C9" s="6" t="s">
        <v>9</v>
      </c>
    </row>
    <row r="10" spans="2:3" ht="31.5" customHeight="1" x14ac:dyDescent="0.3">
      <c r="B10" s="5" t="s">
        <v>10</v>
      </c>
      <c r="C10" s="6" t="s">
        <v>11</v>
      </c>
    </row>
    <row r="11" spans="2:3" ht="31.5" customHeight="1" x14ac:dyDescent="0.3">
      <c r="B11" s="5" t="s">
        <v>12</v>
      </c>
      <c r="C11" s="6" t="s">
        <v>13</v>
      </c>
    </row>
    <row r="12" spans="2:3" ht="31.5" customHeight="1" x14ac:dyDescent="0.3">
      <c r="B12" s="5" t="s">
        <v>14</v>
      </c>
      <c r="C12" s="6" t="s">
        <v>15</v>
      </c>
    </row>
    <row r="14" spans="2:3" ht="15.6" x14ac:dyDescent="0.3">
      <c r="B14" s="4" t="s">
        <v>16</v>
      </c>
    </row>
    <row r="15" spans="2:3" x14ac:dyDescent="0.3">
      <c r="B15" s="7"/>
      <c r="C15" s="8" t="s">
        <v>17</v>
      </c>
    </row>
    <row r="16" spans="2:3" x14ac:dyDescent="0.3">
      <c r="B16" s="9"/>
      <c r="C16" s="8" t="s">
        <v>18</v>
      </c>
    </row>
    <row r="18" spans="2:3" ht="15.6" x14ac:dyDescent="0.3">
      <c r="B18" s="4" t="s">
        <v>19</v>
      </c>
    </row>
    <row r="19" spans="2:3" ht="30" customHeight="1" x14ac:dyDescent="0.3">
      <c r="C19" s="6" t="s">
        <v>20</v>
      </c>
    </row>
    <row r="20" spans="2:3" ht="30" customHeight="1" x14ac:dyDescent="0.3">
      <c r="C20" s="6" t="s">
        <v>21</v>
      </c>
    </row>
    <row r="21" spans="2:3" ht="30" customHeight="1" x14ac:dyDescent="0.3">
      <c r="C21" s="6" t="s">
        <v>22</v>
      </c>
    </row>
    <row r="22" spans="2:3" ht="30" customHeight="1" x14ac:dyDescent="0.3">
      <c r="C22" s="6" t="s">
        <v>23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A1640"/>
    <pageSetUpPr fitToPage="1"/>
  </sheetPr>
  <dimension ref="B2:J20"/>
  <sheetViews>
    <sheetView showGridLines="0" zoomScaleNormal="100" workbookViewId="0">
      <selection activeCell="C14" sqref="C14"/>
    </sheetView>
  </sheetViews>
  <sheetFormatPr baseColWidth="10" defaultColWidth="8.6640625" defaultRowHeight="14.4" x14ac:dyDescent="0.3"/>
  <cols>
    <col min="1" max="1" width="3" customWidth="1"/>
    <col min="2" max="2" width="32" customWidth="1"/>
    <col min="3" max="10" width="11" customWidth="1"/>
  </cols>
  <sheetData>
    <row r="2" spans="2:10" ht="22.8" x14ac:dyDescent="0.4">
      <c r="B2" s="1" t="s">
        <v>24</v>
      </c>
    </row>
    <row r="3" spans="2:10" x14ac:dyDescent="0.3">
      <c r="B3" s="2" t="s">
        <v>25</v>
      </c>
    </row>
    <row r="4" spans="2:10" x14ac:dyDescent="0.3">
      <c r="B4" s="3" t="s">
        <v>2</v>
      </c>
    </row>
    <row r="6" spans="2:10" x14ac:dyDescent="0.3">
      <c r="B6" s="10" t="s">
        <v>26</v>
      </c>
      <c r="C6" s="11"/>
      <c r="E6" s="10" t="s">
        <v>27</v>
      </c>
      <c r="F6" s="11"/>
      <c r="H6" s="10" t="s">
        <v>28</v>
      </c>
      <c r="I6" s="11"/>
    </row>
    <row r="8" spans="2:10" ht="30" customHeight="1" x14ac:dyDescent="0.3">
      <c r="B8" s="12" t="s">
        <v>29</v>
      </c>
      <c r="C8" s="12" t="s">
        <v>30</v>
      </c>
      <c r="D8" s="12" t="s">
        <v>31</v>
      </c>
      <c r="E8" s="12" t="s">
        <v>32</v>
      </c>
      <c r="F8" s="12" t="s">
        <v>33</v>
      </c>
      <c r="G8" s="12" t="s">
        <v>34</v>
      </c>
      <c r="H8" s="12" t="s">
        <v>35</v>
      </c>
      <c r="I8" s="12" t="s">
        <v>36</v>
      </c>
      <c r="J8" s="12" t="s">
        <v>37</v>
      </c>
    </row>
    <row r="9" spans="2:10" ht="33.75" customHeight="1" x14ac:dyDescent="0.3">
      <c r="B9" s="13" t="str">
        <f>IF(Datos!C7="","",Datos!C7)</f>
        <v>Rebaba</v>
      </c>
      <c r="C9" s="14"/>
      <c r="D9" s="14"/>
      <c r="E9" s="14"/>
      <c r="F9" s="14"/>
      <c r="G9" s="14"/>
      <c r="H9" s="14"/>
      <c r="I9" s="14"/>
      <c r="J9" s="15" t="str">
        <f t="shared" ref="J9:J18" si="0">IF(COUNTA(C9:I9)=0,"",SUM(C9:I9))</f>
        <v/>
      </c>
    </row>
    <row r="10" spans="2:10" ht="33.75" customHeight="1" x14ac:dyDescent="0.3">
      <c r="B10" s="13" t="str">
        <f>IF(Datos!C8="","",Datos!C8)</f>
        <v>Rayón</v>
      </c>
      <c r="C10" s="14"/>
      <c r="D10" s="14"/>
      <c r="E10" s="14"/>
      <c r="F10" s="14"/>
      <c r="G10" s="14"/>
      <c r="H10" s="14"/>
      <c r="I10" s="14"/>
      <c r="J10" s="15" t="str">
        <f t="shared" si="0"/>
        <v/>
      </c>
    </row>
    <row r="11" spans="2:10" ht="33.75" customHeight="1" x14ac:dyDescent="0.3">
      <c r="B11" s="13" t="str">
        <f>IF(Datos!C9="","",Datos!C9)</f>
        <v>Mancha</v>
      </c>
      <c r="C11" s="14"/>
      <c r="D11" s="14"/>
      <c r="E11" s="14"/>
      <c r="F11" s="14"/>
      <c r="G11" s="14"/>
      <c r="H11" s="14"/>
      <c r="I11" s="14"/>
      <c r="J11" s="15" t="str">
        <f t="shared" si="0"/>
        <v/>
      </c>
    </row>
    <row r="12" spans="2:10" ht="33.75" customHeight="1" x14ac:dyDescent="0.3">
      <c r="B12" s="13" t="str">
        <f>IF(Datos!C10="","",Datos!C10)</f>
        <v>Pieza incompleta</v>
      </c>
      <c r="C12" s="14"/>
      <c r="D12" s="14"/>
      <c r="E12" s="14"/>
      <c r="F12" s="14"/>
      <c r="G12" s="14"/>
      <c r="H12" s="14"/>
      <c r="I12" s="14"/>
      <c r="J12" s="15" t="str">
        <f t="shared" si="0"/>
        <v/>
      </c>
    </row>
    <row r="13" spans="2:10" ht="33.75" customHeight="1" x14ac:dyDescent="0.3">
      <c r="B13" s="13" t="str">
        <f>IF(Datos!C11="","",Datos!C11)</f>
        <v>Burbuja</v>
      </c>
      <c r="C13" s="14"/>
      <c r="D13" s="14"/>
      <c r="E13" s="14"/>
      <c r="F13" s="14"/>
      <c r="G13" s="14"/>
      <c r="H13" s="14"/>
      <c r="I13" s="14"/>
      <c r="J13" s="15" t="str">
        <f t="shared" si="0"/>
        <v/>
      </c>
    </row>
    <row r="14" spans="2:10" ht="33.75" customHeight="1" x14ac:dyDescent="0.3">
      <c r="B14" s="13" t="str">
        <f>IF(Datos!C12="","",Datos!C12)</f>
        <v>Dimensión fuera de tolerancia</v>
      </c>
      <c r="C14" s="14"/>
      <c r="D14" s="14"/>
      <c r="E14" s="14"/>
      <c r="F14" s="14"/>
      <c r="G14" s="14"/>
      <c r="H14" s="14"/>
      <c r="I14" s="14"/>
      <c r="J14" s="15" t="str">
        <f t="shared" si="0"/>
        <v/>
      </c>
    </row>
    <row r="15" spans="2:10" ht="33.75" customHeight="1" x14ac:dyDescent="0.3">
      <c r="B15" s="13" t="str">
        <f>IF(Datos!C13="","",Datos!C13)</f>
        <v>Otros</v>
      </c>
      <c r="C15" s="14"/>
      <c r="D15" s="14"/>
      <c r="E15" s="14"/>
      <c r="F15" s="14"/>
      <c r="G15" s="14"/>
      <c r="H15" s="14"/>
      <c r="I15" s="14"/>
      <c r="J15" s="15" t="str">
        <f t="shared" si="0"/>
        <v/>
      </c>
    </row>
    <row r="16" spans="2:10" ht="33.75" customHeight="1" x14ac:dyDescent="0.3">
      <c r="B16" s="13" t="str">
        <f>IF(Datos!C14="","",Datos!C14)</f>
        <v/>
      </c>
      <c r="C16" s="14"/>
      <c r="D16" s="14"/>
      <c r="E16" s="14"/>
      <c r="F16" s="14"/>
      <c r="G16" s="14"/>
      <c r="H16" s="14"/>
      <c r="I16" s="14"/>
      <c r="J16" s="15" t="str">
        <f t="shared" si="0"/>
        <v/>
      </c>
    </row>
    <row r="17" spans="2:10" ht="33.75" customHeight="1" x14ac:dyDescent="0.3">
      <c r="B17" s="13" t="str">
        <f>IF(Datos!C15="","",Datos!C15)</f>
        <v/>
      </c>
      <c r="C17" s="14"/>
      <c r="D17" s="14"/>
      <c r="E17" s="14"/>
      <c r="F17" s="14"/>
      <c r="G17" s="14"/>
      <c r="H17" s="14"/>
      <c r="I17" s="14"/>
      <c r="J17" s="15" t="str">
        <f t="shared" si="0"/>
        <v/>
      </c>
    </row>
    <row r="18" spans="2:10" ht="33.75" customHeight="1" x14ac:dyDescent="0.3">
      <c r="B18" s="13" t="str">
        <f>IF(Datos!C16="","",Datos!C16)</f>
        <v/>
      </c>
      <c r="C18" s="14"/>
      <c r="D18" s="14"/>
      <c r="E18" s="14"/>
      <c r="F18" s="14"/>
      <c r="G18" s="14"/>
      <c r="H18" s="14"/>
      <c r="I18" s="14"/>
      <c r="J18" s="15" t="str">
        <f t="shared" si="0"/>
        <v/>
      </c>
    </row>
    <row r="20" spans="2:10" x14ac:dyDescent="0.3">
      <c r="B20" s="16" t="s">
        <v>38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BE45"/>
    <pageSetUpPr fitToPage="1"/>
  </sheetPr>
  <dimension ref="B2:H20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1" sqref="D11"/>
    </sheetView>
  </sheetViews>
  <sheetFormatPr baseColWidth="10" defaultColWidth="8.6640625" defaultRowHeight="14.4" x14ac:dyDescent="0.3"/>
  <cols>
    <col min="1" max="1" width="3" customWidth="1"/>
    <col min="2" max="2" width="6" customWidth="1"/>
    <col min="3" max="3" width="34" customWidth="1"/>
    <col min="4" max="4" width="14" customWidth="1"/>
    <col min="5" max="6" width="16" customWidth="1"/>
    <col min="7" max="8" width="11" customWidth="1"/>
  </cols>
  <sheetData>
    <row r="2" spans="2:8" ht="22.8" x14ac:dyDescent="0.4">
      <c r="B2" s="1" t="s">
        <v>39</v>
      </c>
    </row>
    <row r="3" spans="2:8" x14ac:dyDescent="0.3">
      <c r="B3" s="2" t="s">
        <v>40</v>
      </c>
    </row>
    <row r="4" spans="2:8" x14ac:dyDescent="0.3">
      <c r="B4" s="3" t="s">
        <v>2</v>
      </c>
    </row>
    <row r="6" spans="2:8" ht="30" customHeight="1" x14ac:dyDescent="0.3">
      <c r="B6" s="12" t="s">
        <v>41</v>
      </c>
      <c r="C6" s="12" t="s">
        <v>42</v>
      </c>
      <c r="D6" s="12" t="s">
        <v>43</v>
      </c>
      <c r="E6" s="12" t="s">
        <v>44</v>
      </c>
      <c r="F6" s="12" t="s">
        <v>45</v>
      </c>
      <c r="G6" s="12" t="s">
        <v>46</v>
      </c>
      <c r="H6" s="12" t="s">
        <v>47</v>
      </c>
    </row>
    <row r="7" spans="2:8" x14ac:dyDescent="0.3">
      <c r="B7" s="17">
        <v>1</v>
      </c>
      <c r="C7" s="18" t="s">
        <v>48</v>
      </c>
      <c r="D7" s="19">
        <v>420</v>
      </c>
      <c r="E7" s="20">
        <v>6</v>
      </c>
      <c r="F7" s="21">
        <f t="shared" ref="F7:F16" si="0">IF(OR(C7="",D7=""),0,D7*N(E7))</f>
        <v>2520</v>
      </c>
      <c r="G7" s="22">
        <f>IF(OR(C7="",D7=""),"",SUMPRODUCT(($C$7:$C$16&lt;&gt;"")*($D$7:$D$16&lt;&gt;"")*((($D$7:$D$16)*(LOWER($C$7:$C$16)&lt;&gt;"otros")-(LOWER($C$7:$C$16)="otros"))&gt;IF(LOWER(C7)="otros",-1,D7)))+SUMPRODUCT(($C$7:$C7&lt;&gt;"")*($D$7:$D7&lt;&gt;"")*((($D$7:$D7)*(LOWER($C$7:$C7)&lt;&gt;"otros")-(LOWER($C$7:$C7)="otros"))=IF(LOWER(C7)="otros",-1,D7))))</f>
        <v>1</v>
      </c>
      <c r="H7" s="22">
        <f>IF(OR(C7="",D7=""),"",SUMPRODUCT(($C$7:$C$16&lt;&gt;"")*($D$7:$D$16&lt;&gt;"")*((($F$7:$F$16)*(LOWER($C$7:$C$16)&lt;&gt;"otros")-(LOWER($C$7:$C$16)="otros"))&gt;IF(LOWER(C7)="otros",-1,F7)))+SUMPRODUCT(($C$7:$C7&lt;&gt;"")*($D$7:$D7&lt;&gt;"")*((($F$7:$F7)*(LOWER($C$7:$C7)&lt;&gt;"otros")-(LOWER($C$7:$C7)="otros"))=IF(LOWER(C7)="otros",-1,F7))))</f>
        <v>3</v>
      </c>
    </row>
    <row r="8" spans="2:8" x14ac:dyDescent="0.3">
      <c r="B8" s="17">
        <v>2</v>
      </c>
      <c r="C8" s="18" t="s">
        <v>49</v>
      </c>
      <c r="D8" s="19">
        <v>310</v>
      </c>
      <c r="E8" s="20">
        <v>4</v>
      </c>
      <c r="F8" s="21">
        <f t="shared" si="0"/>
        <v>1240</v>
      </c>
      <c r="G8" s="22">
        <f>IF(OR(C8="",D8=""),"",SUMPRODUCT(($C$7:$C$16&lt;&gt;"")*($D$7:$D$16&lt;&gt;"")*((($D$7:$D$16)*(LOWER($C$7:$C$16)&lt;&gt;"otros")-(LOWER($C$7:$C$16)="otros"))&gt;IF(LOWER(C8)="otros",-1,D8)))+SUMPRODUCT(($C$7:$C8&lt;&gt;"")*($D$7:$D8&lt;&gt;"")*((($D$7:$D8)*(LOWER($C$7:$C8)&lt;&gt;"otros")-(LOWER($C$7:$C8)="otros"))=IF(LOWER(C8)="otros",-1,D8))))</f>
        <v>2</v>
      </c>
      <c r="H8" s="22">
        <f>IF(OR(C8="",D8=""),"",SUMPRODUCT(($C$7:$C$16&lt;&gt;"")*($D$7:$D$16&lt;&gt;"")*((($F$7:$F$16)*(LOWER($C$7:$C$16)&lt;&gt;"otros")-(LOWER($C$7:$C$16)="otros"))&gt;IF(LOWER(C8)="otros",-1,F8)))+SUMPRODUCT(($C$7:$C8&lt;&gt;"")*($D$7:$D8&lt;&gt;"")*((($F$7:$F8)*(LOWER($C$7:$C8)&lt;&gt;"otros")-(LOWER($C$7:$C8)="otros"))=IF(LOWER(C8)="otros",-1,F8))))</f>
        <v>4</v>
      </c>
    </row>
    <row r="9" spans="2:8" x14ac:dyDescent="0.3">
      <c r="B9" s="17">
        <v>3</v>
      </c>
      <c r="C9" s="18" t="s">
        <v>50</v>
      </c>
      <c r="D9" s="19">
        <v>180</v>
      </c>
      <c r="E9" s="20">
        <v>5</v>
      </c>
      <c r="F9" s="21">
        <f t="shared" si="0"/>
        <v>900</v>
      </c>
      <c r="G9" s="22">
        <f>IF(OR(C9="",D9=""),"",SUMPRODUCT(($C$7:$C$16&lt;&gt;"")*($D$7:$D$16&lt;&gt;"")*((($D$7:$D$16)*(LOWER($C$7:$C$16)&lt;&gt;"otros")-(LOWER($C$7:$C$16)="otros"))&gt;IF(LOWER(C9)="otros",-1,D9)))+SUMPRODUCT(($C$7:$C9&lt;&gt;"")*($D$7:$D9&lt;&gt;"")*((($D$7:$D9)*(LOWER($C$7:$C9)&lt;&gt;"otros")-(LOWER($C$7:$C9)="otros"))=IF(LOWER(C9)="otros",-1,D9))))</f>
        <v>3</v>
      </c>
      <c r="H9" s="22">
        <f>IF(OR(C9="",D9=""),"",SUMPRODUCT(($C$7:$C$16&lt;&gt;"")*($D$7:$D$16&lt;&gt;"")*((($F$7:$F$16)*(LOWER($C$7:$C$16)&lt;&gt;"otros")-(LOWER($C$7:$C$16)="otros"))&gt;IF(LOWER(C9)="otros",-1,F9)))+SUMPRODUCT(($C$7:$C9&lt;&gt;"")*($D$7:$D9&lt;&gt;"")*((($F$7:$F9)*(LOWER($C$7:$C9)&lt;&gt;"otros")-(LOWER($C$7:$C9)="otros"))=IF(LOWER(C9)="otros",-1,F9))))</f>
        <v>5</v>
      </c>
    </row>
    <row r="10" spans="2:8" x14ac:dyDescent="0.3">
      <c r="B10" s="17">
        <v>4</v>
      </c>
      <c r="C10" s="18" t="s">
        <v>51</v>
      </c>
      <c r="D10" s="19">
        <v>150</v>
      </c>
      <c r="E10" s="20">
        <v>28</v>
      </c>
      <c r="F10" s="21">
        <f t="shared" si="0"/>
        <v>4200</v>
      </c>
      <c r="G10" s="22">
        <f>IF(OR(C10="",D10=""),"",SUMPRODUCT(($C$7:$C$16&lt;&gt;"")*($D$7:$D$16&lt;&gt;"")*((($D$7:$D$16)*(LOWER($C$7:$C$16)&lt;&gt;"otros")-(LOWER($C$7:$C$16)="otros"))&gt;IF(LOWER(C10)="otros",-1,D10)))+SUMPRODUCT(($C$7:$C10&lt;&gt;"")*($D$7:$D10&lt;&gt;"")*((($D$7:$D10)*(LOWER($C$7:$C10)&lt;&gt;"otros")-(LOWER($C$7:$C10)="otros"))=IF(LOWER(C10)="otros",-1,D10))))</f>
        <v>4</v>
      </c>
      <c r="H10" s="22">
        <f>IF(OR(C10="",D10=""),"",SUMPRODUCT(($C$7:$C$16&lt;&gt;"")*($D$7:$D$16&lt;&gt;"")*((($F$7:$F$16)*(LOWER($C$7:$C$16)&lt;&gt;"otros")-(LOWER($C$7:$C$16)="otros"))&gt;IF(LOWER(C10)="otros",-1,F10)))+SUMPRODUCT(($C$7:$C10&lt;&gt;"")*($D$7:$D10&lt;&gt;"")*((($F$7:$F10)*(LOWER($C$7:$C10)&lt;&gt;"otros")-(LOWER($C$7:$C10)="otros"))=IF(LOWER(C10)="otros",-1,F10))))</f>
        <v>1</v>
      </c>
    </row>
    <row r="11" spans="2:8" x14ac:dyDescent="0.3">
      <c r="B11" s="17">
        <v>5</v>
      </c>
      <c r="C11" s="18" t="s">
        <v>52</v>
      </c>
      <c r="D11" s="19">
        <v>90</v>
      </c>
      <c r="E11" s="20">
        <v>10</v>
      </c>
      <c r="F11" s="21">
        <f t="shared" si="0"/>
        <v>900</v>
      </c>
      <c r="G11" s="22">
        <f>IF(OR(C11="",D11=""),"",SUMPRODUCT(($C$7:$C$16&lt;&gt;"")*($D$7:$D$16&lt;&gt;"")*((($D$7:$D$16)*(LOWER($C$7:$C$16)&lt;&gt;"otros")-(LOWER($C$7:$C$16)="otros"))&gt;IF(LOWER(C11)="otros",-1,D11)))+SUMPRODUCT(($C$7:$C11&lt;&gt;"")*($D$7:$D11&lt;&gt;"")*((($D$7:$D11)*(LOWER($C$7:$C11)&lt;&gt;"otros")-(LOWER($C$7:$C11)="otros"))=IF(LOWER(C11)="otros",-1,D11))))</f>
        <v>5</v>
      </c>
      <c r="H11" s="22">
        <f>IF(OR(C11="",D11=""),"",SUMPRODUCT(($C$7:$C$16&lt;&gt;"")*($D$7:$D$16&lt;&gt;"")*((($F$7:$F$16)*(LOWER($C$7:$C$16)&lt;&gt;"otros")-(LOWER($C$7:$C$16)="otros"))&gt;IF(LOWER(C11)="otros",-1,F11)))+SUMPRODUCT(($C$7:$C11&lt;&gt;"")*($D$7:$D11&lt;&gt;"")*((($F$7:$F11)*(LOWER($C$7:$C11)&lt;&gt;"otros")-(LOWER($C$7:$C11)="otros"))=IF(LOWER(C11)="otros",-1,F11))))</f>
        <v>6</v>
      </c>
    </row>
    <row r="12" spans="2:8" x14ac:dyDescent="0.3">
      <c r="B12" s="17">
        <v>6</v>
      </c>
      <c r="C12" s="18" t="s">
        <v>53</v>
      </c>
      <c r="D12" s="19">
        <v>60</v>
      </c>
      <c r="E12" s="20">
        <v>45</v>
      </c>
      <c r="F12" s="21">
        <f t="shared" si="0"/>
        <v>2700</v>
      </c>
      <c r="G12" s="22">
        <f>IF(OR(C12="",D12=""),"",SUMPRODUCT(($C$7:$C$16&lt;&gt;"")*($D$7:$D$16&lt;&gt;"")*((($D$7:$D$16)*(LOWER($C$7:$C$16)&lt;&gt;"otros")-(LOWER($C$7:$C$16)="otros"))&gt;IF(LOWER(C12)="otros",-1,D12)))+SUMPRODUCT(($C$7:$C12&lt;&gt;"")*($D$7:$D12&lt;&gt;"")*((($D$7:$D12)*(LOWER($C$7:$C12)&lt;&gt;"otros")-(LOWER($C$7:$C12)="otros"))=IF(LOWER(C12)="otros",-1,D12))))</f>
        <v>6</v>
      </c>
      <c r="H12" s="22">
        <f>IF(OR(C12="",D12=""),"",SUMPRODUCT(($C$7:$C$16&lt;&gt;"")*($D$7:$D$16&lt;&gt;"")*((($F$7:$F$16)*(LOWER($C$7:$C$16)&lt;&gt;"otros")-(LOWER($C$7:$C$16)="otros"))&gt;IF(LOWER(C12)="otros",-1,F12)))+SUMPRODUCT(($C$7:$C12&lt;&gt;"")*($D$7:$D12&lt;&gt;"")*((($F$7:$F12)*(LOWER($C$7:$C12)&lt;&gt;"otros")-(LOWER($C$7:$C12)="otros"))=IF(LOWER(C12)="otros",-1,F12))))</f>
        <v>2</v>
      </c>
    </row>
    <row r="13" spans="2:8" x14ac:dyDescent="0.3">
      <c r="B13" s="17">
        <v>7</v>
      </c>
      <c r="C13" s="18" t="s">
        <v>54</v>
      </c>
      <c r="D13" s="19">
        <v>40</v>
      </c>
      <c r="E13" s="20">
        <v>8</v>
      </c>
      <c r="F13" s="21">
        <f t="shared" si="0"/>
        <v>320</v>
      </c>
      <c r="G13" s="22">
        <f>IF(OR(C13="",D13=""),"",SUMPRODUCT(($C$7:$C$16&lt;&gt;"")*($D$7:$D$16&lt;&gt;"")*((($D$7:$D$16)*(LOWER($C$7:$C$16)&lt;&gt;"otros")-(LOWER($C$7:$C$16)="otros"))&gt;IF(LOWER(C13)="otros",-1,D13)))+SUMPRODUCT(($C$7:$C13&lt;&gt;"")*($D$7:$D13&lt;&gt;"")*((($D$7:$D13)*(LOWER($C$7:$C13)&lt;&gt;"otros")-(LOWER($C$7:$C13)="otros"))=IF(LOWER(C13)="otros",-1,D13))))</f>
        <v>7</v>
      </c>
      <c r="H13" s="22">
        <f>IF(OR(C13="",D13=""),"",SUMPRODUCT(($C$7:$C$16&lt;&gt;"")*($D$7:$D$16&lt;&gt;"")*((($F$7:$F$16)*(LOWER($C$7:$C$16)&lt;&gt;"otros")-(LOWER($C$7:$C$16)="otros"))&gt;IF(LOWER(C13)="otros",-1,F13)))+SUMPRODUCT(($C$7:$C13&lt;&gt;"")*($D$7:$D13&lt;&gt;"")*((($F$7:$F13)*(LOWER($C$7:$C13)&lt;&gt;"otros")-(LOWER($C$7:$C13)="otros"))=IF(LOWER(C13)="otros",-1,F13))))</f>
        <v>7</v>
      </c>
    </row>
    <row r="14" spans="2:8" x14ac:dyDescent="0.3">
      <c r="B14" s="17">
        <v>8</v>
      </c>
      <c r="C14" s="18"/>
      <c r="D14" s="19"/>
      <c r="E14" s="20"/>
      <c r="F14" s="21">
        <f t="shared" si="0"/>
        <v>0</v>
      </c>
      <c r="G14" s="22" t="str">
        <f>IF(OR(C14="",D14=""),"",SUMPRODUCT(($C$7:$C$16&lt;&gt;"")*($D$7:$D$16&lt;&gt;"")*((($D$7:$D$16)*(LOWER($C$7:$C$16)&lt;&gt;"otros")-(LOWER($C$7:$C$16)="otros"))&gt;IF(LOWER(C14)="otros",-1,D14)))+SUMPRODUCT(($C$7:$C14&lt;&gt;"")*($D$7:$D14&lt;&gt;"")*((($D$7:$D14)*(LOWER($C$7:$C14)&lt;&gt;"otros")-(LOWER($C$7:$C14)="otros"))=IF(LOWER(C14)="otros",-1,D14))))</f>
        <v/>
      </c>
      <c r="H14" s="22" t="str">
        <f>IF(OR(C14="",D14=""),"",SUMPRODUCT(($C$7:$C$16&lt;&gt;"")*($D$7:$D$16&lt;&gt;"")*((($F$7:$F$16)*(LOWER($C$7:$C$16)&lt;&gt;"otros")-(LOWER($C$7:$C$16)="otros"))&gt;IF(LOWER(C14)="otros",-1,F14)))+SUMPRODUCT(($C$7:$C14&lt;&gt;"")*($D$7:$D14&lt;&gt;"")*((($F$7:$F14)*(LOWER($C$7:$C14)&lt;&gt;"otros")-(LOWER($C$7:$C14)="otros"))=IF(LOWER(C14)="otros",-1,F14))))</f>
        <v/>
      </c>
    </row>
    <row r="15" spans="2:8" x14ac:dyDescent="0.3">
      <c r="B15" s="17">
        <v>9</v>
      </c>
      <c r="C15" s="18"/>
      <c r="D15" s="19"/>
      <c r="E15" s="20"/>
      <c r="F15" s="21">
        <f t="shared" si="0"/>
        <v>0</v>
      </c>
      <c r="G15" s="22" t="str">
        <f>IF(OR(C15="",D15=""),"",SUMPRODUCT(($C$7:$C$16&lt;&gt;"")*($D$7:$D$16&lt;&gt;"")*((($D$7:$D$16)*(LOWER($C$7:$C$16)&lt;&gt;"otros")-(LOWER($C$7:$C$16)="otros"))&gt;IF(LOWER(C15)="otros",-1,D15)))+SUMPRODUCT(($C$7:$C15&lt;&gt;"")*($D$7:$D15&lt;&gt;"")*((($D$7:$D15)*(LOWER($C$7:$C15)&lt;&gt;"otros")-(LOWER($C$7:$C15)="otros"))=IF(LOWER(C15)="otros",-1,D15))))</f>
        <v/>
      </c>
      <c r="H15" s="22" t="str">
        <f>IF(OR(C15="",D15=""),"",SUMPRODUCT(($C$7:$C$16&lt;&gt;"")*($D$7:$D$16&lt;&gt;"")*((($F$7:$F$16)*(LOWER($C$7:$C$16)&lt;&gt;"otros")-(LOWER($C$7:$C$16)="otros"))&gt;IF(LOWER(C15)="otros",-1,F15)))+SUMPRODUCT(($C$7:$C15&lt;&gt;"")*($D$7:$D15&lt;&gt;"")*((($F$7:$F15)*(LOWER($C$7:$C15)&lt;&gt;"otros")-(LOWER($C$7:$C15)="otros"))=IF(LOWER(C15)="otros",-1,F15))))</f>
        <v/>
      </c>
    </row>
    <row r="16" spans="2:8" x14ac:dyDescent="0.3">
      <c r="B16" s="17">
        <v>10</v>
      </c>
      <c r="C16" s="18"/>
      <c r="D16" s="19"/>
      <c r="E16" s="20"/>
      <c r="F16" s="21">
        <f t="shared" si="0"/>
        <v>0</v>
      </c>
      <c r="G16" s="22" t="str">
        <f>IF(OR(C16="",D16=""),"",SUMPRODUCT(($C$7:$C$16&lt;&gt;"")*($D$7:$D$16&lt;&gt;"")*((($D$7:$D$16)*(LOWER($C$7:$C$16)&lt;&gt;"otros")-(LOWER($C$7:$C$16)="otros"))&gt;IF(LOWER(C16)="otros",-1,D16)))+SUMPRODUCT(($C$7:$C16&lt;&gt;"")*($D$7:$D16&lt;&gt;"")*((($D$7:$D16)*(LOWER($C$7:$C16)&lt;&gt;"otros")-(LOWER($C$7:$C16)="otros"))=IF(LOWER(C16)="otros",-1,D16))))</f>
        <v/>
      </c>
      <c r="H16" s="22" t="str">
        <f>IF(OR(C16="",D16=""),"",SUMPRODUCT(($C$7:$C$16&lt;&gt;"")*($D$7:$D$16&lt;&gt;"")*((($F$7:$F$16)*(LOWER($C$7:$C$16)&lt;&gt;"otros")-(LOWER($C$7:$C$16)="otros"))&gt;IF(LOWER(C16)="otros",-1,F16)))+SUMPRODUCT(($C$7:$C16&lt;&gt;"")*($D$7:$D16&lt;&gt;"")*((($F$7:$F16)*(LOWER($C$7:$C16)&lt;&gt;"otros")-(LOWER($C$7:$C16)="otros"))=IF(LOWER(C16)="otros",-1,F16))))</f>
        <v/>
      </c>
    </row>
    <row r="17" spans="3:6" x14ac:dyDescent="0.3">
      <c r="C17" s="15" t="s">
        <v>55</v>
      </c>
      <c r="D17" s="23">
        <f>SUM(D7:D16)</f>
        <v>1250</v>
      </c>
      <c r="F17" s="24">
        <f>SUM(F7:F16)</f>
        <v>12780</v>
      </c>
    </row>
    <row r="19" spans="3:6" x14ac:dyDescent="0.3">
      <c r="C19" s="16" t="s">
        <v>56</v>
      </c>
    </row>
    <row r="20" spans="3:6" x14ac:dyDescent="0.3">
      <c r="C20" s="16" t="s">
        <v>57</v>
      </c>
    </row>
  </sheetData>
  <pageMargins left="0.75" right="0.75" top="1" bottom="1" header="0.511811023622047" footer="0.511811023622047"/>
  <pageSetup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A1640"/>
    <pageSetUpPr fitToPage="1"/>
  </sheetPr>
  <dimension ref="B2:G18"/>
  <sheetViews>
    <sheetView showGridLines="0" topLeftCell="A3" zoomScaleNormal="100" workbookViewId="0">
      <selection activeCell="D8" sqref="D8"/>
    </sheetView>
  </sheetViews>
  <sheetFormatPr baseColWidth="10" defaultColWidth="8.6640625" defaultRowHeight="14.4" x14ac:dyDescent="0.3"/>
  <cols>
    <col min="1" max="1" width="3" customWidth="1"/>
    <col min="2" max="2" width="6" customWidth="1"/>
    <col min="3" max="3" width="34" customWidth="1"/>
    <col min="4" max="4" width="16" customWidth="1"/>
    <col min="5" max="5" width="12" customWidth="1"/>
    <col min="6" max="6" width="14" customWidth="1"/>
    <col min="7" max="7" width="12" customWidth="1"/>
    <col min="8" max="8" width="3" customWidth="1"/>
  </cols>
  <sheetData>
    <row r="2" spans="2:7" ht="22.8" x14ac:dyDescent="0.4">
      <c r="B2" s="1" t="s">
        <v>58</v>
      </c>
    </row>
    <row r="3" spans="2:7" x14ac:dyDescent="0.3">
      <c r="B3" s="2" t="s">
        <v>59</v>
      </c>
    </row>
    <row r="4" spans="2:7" x14ac:dyDescent="0.3">
      <c r="B4" s="3" t="s">
        <v>2</v>
      </c>
    </row>
    <row r="6" spans="2:7" ht="30" customHeight="1" x14ac:dyDescent="0.3">
      <c r="B6" s="12" t="s">
        <v>60</v>
      </c>
      <c r="C6" s="12" t="s">
        <v>42</v>
      </c>
      <c r="D6" s="12" t="s">
        <v>43</v>
      </c>
      <c r="E6" s="12" t="s">
        <v>61</v>
      </c>
      <c r="F6" s="12" t="s">
        <v>62</v>
      </c>
      <c r="G6" s="12" t="s">
        <v>63</v>
      </c>
    </row>
    <row r="7" spans="2:7" x14ac:dyDescent="0.3">
      <c r="B7" s="25">
        <v>1</v>
      </c>
      <c r="C7" s="26" t="str">
        <f>IFERROR(INDEX(Datos!$C$7:$C$16,MATCH(1,Datos!$G$7:$G$16,0)),"")</f>
        <v>Rebaba</v>
      </c>
      <c r="D7" s="27">
        <f>IFERROR(INDEX(Datos!$D$7:$D$16,MATCH(1,Datos!$G$7:$G$16,0)),"")</f>
        <v>420</v>
      </c>
      <c r="E7" s="28">
        <f>IF(OR(D7="",N(Datos!$D$17)=0),"",D7/Datos!$D$17)</f>
        <v>0.33600000000000002</v>
      </c>
      <c r="F7" s="28">
        <f>IF(OR(D7="",N(Datos!$D$17)=0),0,E7)</f>
        <v>0.33600000000000002</v>
      </c>
      <c r="G7" s="25" t="str">
        <f>IF(D7="","",IF(0&lt;0.8,"Vital","Trivial"))</f>
        <v>Vital</v>
      </c>
    </row>
    <row r="8" spans="2:7" x14ac:dyDescent="0.3">
      <c r="B8" s="25">
        <v>2</v>
      </c>
      <c r="C8" s="26" t="str">
        <f>IFERROR(INDEX(Datos!$C$7:$C$16,MATCH(2,Datos!$G$7:$G$16,0)),"")</f>
        <v>Rayón</v>
      </c>
      <c r="D8" s="27">
        <f>IFERROR(INDEX(Datos!$D$7:$D$16,MATCH(2,Datos!$G$7:$G$16,0)),"")</f>
        <v>310</v>
      </c>
      <c r="E8" s="28">
        <f>IF(OR(D8="",N(Datos!$D$17)=0),"",D8/Datos!$D$17)</f>
        <v>0.248</v>
      </c>
      <c r="F8" s="28">
        <f>IF(OR(D8="",N(Datos!$D$17)=0),F7,N(F7)+E8)</f>
        <v>0.58400000000000007</v>
      </c>
      <c r="G8" s="25" t="str">
        <f t="shared" ref="G8:G16" si="0">IF(D8="","",IF(N(F7)&lt;0.8,"Vital","Trivial"))</f>
        <v>Vital</v>
      </c>
    </row>
    <row r="9" spans="2:7" x14ac:dyDescent="0.3">
      <c r="B9" s="25">
        <v>3</v>
      </c>
      <c r="C9" s="26" t="str">
        <f>IFERROR(INDEX(Datos!$C$7:$C$16,MATCH(3,Datos!$G$7:$G$16,0)),"")</f>
        <v>Mancha</v>
      </c>
      <c r="D9" s="27">
        <f>IFERROR(INDEX(Datos!$D$7:$D$16,MATCH(3,Datos!$G$7:$G$16,0)),"")</f>
        <v>180</v>
      </c>
      <c r="E9" s="28">
        <f>IF(OR(D9="",N(Datos!$D$17)=0),"",D9/Datos!$D$17)</f>
        <v>0.14399999999999999</v>
      </c>
      <c r="F9" s="28">
        <f>IF(OR(D9="",N(Datos!$D$17)=0),F8,N(F8)+E9)</f>
        <v>0.72800000000000009</v>
      </c>
      <c r="G9" s="25" t="str">
        <f t="shared" si="0"/>
        <v>Vital</v>
      </c>
    </row>
    <row r="10" spans="2:7" x14ac:dyDescent="0.3">
      <c r="B10" s="25">
        <v>4</v>
      </c>
      <c r="C10" s="26" t="str">
        <f>IFERROR(INDEX(Datos!$C$7:$C$16,MATCH(4,Datos!$G$7:$G$16,0)),"")</f>
        <v>Pieza incompleta</v>
      </c>
      <c r="D10" s="27">
        <f>IFERROR(INDEX(Datos!$D$7:$D$16,MATCH(4,Datos!$G$7:$G$16,0)),"")</f>
        <v>150</v>
      </c>
      <c r="E10" s="28">
        <f>IF(OR(D10="",N(Datos!$D$17)=0),"",D10/Datos!$D$17)</f>
        <v>0.12</v>
      </c>
      <c r="F10" s="28">
        <f>IF(OR(D10="",N(Datos!$D$17)=0),F9,N(F9)+E10)</f>
        <v>0.84800000000000009</v>
      </c>
      <c r="G10" s="25" t="str">
        <f t="shared" si="0"/>
        <v>Vital</v>
      </c>
    </row>
    <row r="11" spans="2:7" x14ac:dyDescent="0.3">
      <c r="B11" s="25">
        <v>5</v>
      </c>
      <c r="C11" s="26" t="str">
        <f>IFERROR(INDEX(Datos!$C$7:$C$16,MATCH(5,Datos!$G$7:$G$16,0)),"")</f>
        <v>Burbuja</v>
      </c>
      <c r="D11" s="27">
        <f>IFERROR(INDEX(Datos!$D$7:$D$16,MATCH(5,Datos!$G$7:$G$16,0)),"")</f>
        <v>90</v>
      </c>
      <c r="E11" s="28">
        <f>IF(OR(D11="",N(Datos!$D$17)=0),"",D11/Datos!$D$17)</f>
        <v>7.1999999999999995E-2</v>
      </c>
      <c r="F11" s="28">
        <f>IF(OR(D11="",N(Datos!$D$17)=0),F10,N(F10)+E11)</f>
        <v>0.92</v>
      </c>
      <c r="G11" s="25" t="str">
        <f t="shared" si="0"/>
        <v>Trivial</v>
      </c>
    </row>
    <row r="12" spans="2:7" x14ac:dyDescent="0.3">
      <c r="B12" s="25">
        <v>6</v>
      </c>
      <c r="C12" s="26" t="str">
        <f>IFERROR(INDEX(Datos!$C$7:$C$16,MATCH(6,Datos!$G$7:$G$16,0)),"")</f>
        <v>Dimensión fuera de tolerancia</v>
      </c>
      <c r="D12" s="27">
        <f>IFERROR(INDEX(Datos!$D$7:$D$16,MATCH(6,Datos!$G$7:$G$16,0)),"")</f>
        <v>60</v>
      </c>
      <c r="E12" s="28">
        <f>IF(OR(D12="",N(Datos!$D$17)=0),"",D12/Datos!$D$17)</f>
        <v>4.8000000000000001E-2</v>
      </c>
      <c r="F12" s="28">
        <f>IF(OR(D12="",N(Datos!$D$17)=0),F11,N(F11)+E12)</f>
        <v>0.96800000000000008</v>
      </c>
      <c r="G12" s="25" t="str">
        <f t="shared" si="0"/>
        <v>Trivial</v>
      </c>
    </row>
    <row r="13" spans="2:7" x14ac:dyDescent="0.3">
      <c r="B13" s="25">
        <v>7</v>
      </c>
      <c r="C13" s="26" t="str">
        <f>IFERROR(INDEX(Datos!$C$7:$C$16,MATCH(7,Datos!$G$7:$G$16,0)),"")</f>
        <v>Otros</v>
      </c>
      <c r="D13" s="27">
        <f>IFERROR(INDEX(Datos!$D$7:$D$16,MATCH(7,Datos!$G$7:$G$16,0)),"")</f>
        <v>40</v>
      </c>
      <c r="E13" s="28">
        <f>IF(OR(D13="",N(Datos!$D$17)=0),"",D13/Datos!$D$17)</f>
        <v>3.2000000000000001E-2</v>
      </c>
      <c r="F13" s="28">
        <f>IF(OR(D13="",N(Datos!$D$17)=0),F12,N(F12)+E13)</f>
        <v>1</v>
      </c>
      <c r="G13" s="25" t="str">
        <f t="shared" si="0"/>
        <v>Trivial</v>
      </c>
    </row>
    <row r="14" spans="2:7" x14ac:dyDescent="0.3">
      <c r="B14" s="25">
        <v>8</v>
      </c>
      <c r="C14" s="26" t="str">
        <f>IFERROR(INDEX(Datos!$C$7:$C$16,MATCH(8,Datos!$G$7:$G$16,0)),"")</f>
        <v/>
      </c>
      <c r="D14" s="27" t="str">
        <f>IFERROR(INDEX(Datos!$D$7:$D$16,MATCH(8,Datos!$G$7:$G$16,0)),"")</f>
        <v/>
      </c>
      <c r="E14" s="28" t="str">
        <f>IF(OR(D14="",N(Datos!$D$17)=0),"",D14/Datos!$D$17)</f>
        <v/>
      </c>
      <c r="F14" s="28">
        <f>IF(OR(D14="",N(Datos!$D$17)=0),F13,N(F13)+E14)</f>
        <v>1</v>
      </c>
      <c r="G14" s="25" t="str">
        <f t="shared" si="0"/>
        <v/>
      </c>
    </row>
    <row r="15" spans="2:7" x14ac:dyDescent="0.3">
      <c r="B15" s="25">
        <v>9</v>
      </c>
      <c r="C15" s="26" t="str">
        <f>IFERROR(INDEX(Datos!$C$7:$C$16,MATCH(9,Datos!$G$7:$G$16,0)),"")</f>
        <v/>
      </c>
      <c r="D15" s="27" t="str">
        <f>IFERROR(INDEX(Datos!$D$7:$D$16,MATCH(9,Datos!$G$7:$G$16,0)),"")</f>
        <v/>
      </c>
      <c r="E15" s="28" t="str">
        <f>IF(OR(D15="",N(Datos!$D$17)=0),"",D15/Datos!$D$17)</f>
        <v/>
      </c>
      <c r="F15" s="28">
        <f>IF(OR(D15="",N(Datos!$D$17)=0),F14,N(F14)+E15)</f>
        <v>1</v>
      </c>
      <c r="G15" s="25" t="str">
        <f t="shared" si="0"/>
        <v/>
      </c>
    </row>
    <row r="16" spans="2:7" x14ac:dyDescent="0.3">
      <c r="B16" s="25">
        <v>10</v>
      </c>
      <c r="C16" s="26" t="str">
        <f>IFERROR(INDEX(Datos!$C$7:$C$16,MATCH(10,Datos!$G$7:$G$16,0)),"")</f>
        <v/>
      </c>
      <c r="D16" s="27" t="str">
        <f>IFERROR(INDEX(Datos!$D$7:$D$16,MATCH(10,Datos!$G$7:$G$16,0)),"")</f>
        <v/>
      </c>
      <c r="E16" s="28" t="str">
        <f>IF(OR(D16="",N(Datos!$D$17)=0),"",D16/Datos!$D$17)</f>
        <v/>
      </c>
      <c r="F16" s="28">
        <f>IF(OR(D16="",N(Datos!$D$17)=0),F15,N(F15)+E16)</f>
        <v>1</v>
      </c>
      <c r="G16" s="25" t="str">
        <f t="shared" si="0"/>
        <v/>
      </c>
    </row>
    <row r="17" spans="3:4" x14ac:dyDescent="0.3">
      <c r="C17" s="10" t="s">
        <v>55</v>
      </c>
      <c r="D17" s="29">
        <f>Datos!$D$17</f>
        <v>1250</v>
      </c>
    </row>
    <row r="18" spans="3:4" x14ac:dyDescent="0.3">
      <c r="C18" s="16" t="s">
        <v>64</v>
      </c>
    </row>
  </sheetData>
  <conditionalFormatting sqref="B7:G16">
    <cfRule type="expression" dxfId="2" priority="2">
      <formula>$G7="Vital"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A1640"/>
    <pageSetUpPr fitToPage="1"/>
  </sheetPr>
  <dimension ref="B2:G18"/>
  <sheetViews>
    <sheetView showGridLines="0" topLeftCell="A8" zoomScaleNormal="100" workbookViewId="0"/>
  </sheetViews>
  <sheetFormatPr baseColWidth="10" defaultColWidth="8.6640625" defaultRowHeight="14.4" x14ac:dyDescent="0.3"/>
  <cols>
    <col min="1" max="1" width="3" customWidth="1"/>
    <col min="2" max="2" width="6" customWidth="1"/>
    <col min="3" max="3" width="34" customWidth="1"/>
    <col min="4" max="4" width="16" customWidth="1"/>
    <col min="5" max="5" width="12" customWidth="1"/>
    <col min="6" max="6" width="14" customWidth="1"/>
    <col min="7" max="7" width="12" customWidth="1"/>
    <col min="8" max="8" width="3" customWidth="1"/>
  </cols>
  <sheetData>
    <row r="2" spans="2:7" ht="22.8" x14ac:dyDescent="0.4">
      <c r="B2" s="1" t="s">
        <v>65</v>
      </c>
    </row>
    <row r="3" spans="2:7" x14ac:dyDescent="0.3">
      <c r="B3" s="2" t="s">
        <v>59</v>
      </c>
    </row>
    <row r="4" spans="2:7" x14ac:dyDescent="0.3">
      <c r="B4" s="3" t="s">
        <v>2</v>
      </c>
    </row>
    <row r="6" spans="2:7" ht="30" customHeight="1" x14ac:dyDescent="0.3">
      <c r="B6" s="12" t="s">
        <v>60</v>
      </c>
      <c r="C6" s="12" t="s">
        <v>42</v>
      </c>
      <c r="D6" s="12" t="s">
        <v>66</v>
      </c>
      <c r="E6" s="12" t="s">
        <v>61</v>
      </c>
      <c r="F6" s="12" t="s">
        <v>62</v>
      </c>
      <c r="G6" s="12" t="s">
        <v>63</v>
      </c>
    </row>
    <row r="7" spans="2:7" x14ac:dyDescent="0.3">
      <c r="B7" s="25">
        <v>1</v>
      </c>
      <c r="C7" s="26" t="str">
        <f>IFERROR(INDEX(Datos!$C$7:$C$16,MATCH(1,Datos!$H$7:$H$16,0)),"")</f>
        <v>Pieza incompleta</v>
      </c>
      <c r="D7" s="30">
        <f>IFERROR(INDEX(Datos!$F$7:$F$16,MATCH(1,Datos!$H$7:$H$16,0)),"")</f>
        <v>4200</v>
      </c>
      <c r="E7" s="28">
        <f>IF(OR(D7="",N(Datos!$F$17)=0),"",D7/Datos!$F$17)</f>
        <v>0.32863849765258218</v>
      </c>
      <c r="F7" s="28">
        <f>IF(OR(D7="",N(Datos!$F$17)=0),0,E7)</f>
        <v>0.32863849765258218</v>
      </c>
      <c r="G7" s="25" t="str">
        <f>IF(D7="","",IF(0&lt;0.8,"Vital","Trivial"))</f>
        <v>Vital</v>
      </c>
    </row>
    <row r="8" spans="2:7" x14ac:dyDescent="0.3">
      <c r="B8" s="25">
        <v>2</v>
      </c>
      <c r="C8" s="26" t="str">
        <f>IFERROR(INDEX(Datos!$C$7:$C$16,MATCH(2,Datos!$H$7:$H$16,0)),"")</f>
        <v>Dimensión fuera de tolerancia</v>
      </c>
      <c r="D8" s="30">
        <f>IFERROR(INDEX(Datos!$F$7:$F$16,MATCH(2,Datos!$H$7:$H$16,0)),"")</f>
        <v>2700</v>
      </c>
      <c r="E8" s="28">
        <f>IF(OR(D8="",N(Datos!$F$17)=0),"",D8/Datos!$F$17)</f>
        <v>0.21126760563380281</v>
      </c>
      <c r="F8" s="28">
        <f>IF(OR(D8="",N(Datos!$F$17)=0),F7,N(F7)+E8)</f>
        <v>0.539906103286385</v>
      </c>
      <c r="G8" s="25" t="str">
        <f t="shared" ref="G8:G16" si="0">IF(D8="","",IF(N(F7)&lt;0.8,"Vital","Trivial"))</f>
        <v>Vital</v>
      </c>
    </row>
    <row r="9" spans="2:7" x14ac:dyDescent="0.3">
      <c r="B9" s="25">
        <v>3</v>
      </c>
      <c r="C9" s="26" t="str">
        <f>IFERROR(INDEX(Datos!$C$7:$C$16,MATCH(3,Datos!$H$7:$H$16,0)),"")</f>
        <v>Rebaba</v>
      </c>
      <c r="D9" s="30">
        <f>IFERROR(INDEX(Datos!$F$7:$F$16,MATCH(3,Datos!$H$7:$H$16,0)),"")</f>
        <v>2520</v>
      </c>
      <c r="E9" s="28">
        <f>IF(OR(D9="",N(Datos!$F$17)=0),"",D9/Datos!$F$17)</f>
        <v>0.19718309859154928</v>
      </c>
      <c r="F9" s="28">
        <f>IF(OR(D9="",N(Datos!$F$17)=0),F8,N(F8)+E9)</f>
        <v>0.73708920187793425</v>
      </c>
      <c r="G9" s="25" t="str">
        <f t="shared" si="0"/>
        <v>Vital</v>
      </c>
    </row>
    <row r="10" spans="2:7" x14ac:dyDescent="0.3">
      <c r="B10" s="25">
        <v>4</v>
      </c>
      <c r="C10" s="26" t="str">
        <f>IFERROR(INDEX(Datos!$C$7:$C$16,MATCH(4,Datos!$H$7:$H$16,0)),"")</f>
        <v>Rayón</v>
      </c>
      <c r="D10" s="30">
        <f>IFERROR(INDEX(Datos!$F$7:$F$16,MATCH(4,Datos!$H$7:$H$16,0)),"")</f>
        <v>1240</v>
      </c>
      <c r="E10" s="28">
        <f>IF(OR(D10="",N(Datos!$F$17)=0),"",D10/Datos!$F$17)</f>
        <v>9.7026604068857589E-2</v>
      </c>
      <c r="F10" s="28">
        <f>IF(OR(D10="",N(Datos!$F$17)=0),F9,N(F9)+E10)</f>
        <v>0.8341158059467918</v>
      </c>
      <c r="G10" s="25" t="str">
        <f t="shared" si="0"/>
        <v>Vital</v>
      </c>
    </row>
    <row r="11" spans="2:7" x14ac:dyDescent="0.3">
      <c r="B11" s="25">
        <v>5</v>
      </c>
      <c r="C11" s="26" t="str">
        <f>IFERROR(INDEX(Datos!$C$7:$C$16,MATCH(5,Datos!$H$7:$H$16,0)),"")</f>
        <v>Mancha</v>
      </c>
      <c r="D11" s="30">
        <f>IFERROR(INDEX(Datos!$F$7:$F$16,MATCH(5,Datos!$H$7:$H$16,0)),"")</f>
        <v>900</v>
      </c>
      <c r="E11" s="28">
        <f>IF(OR(D11="",N(Datos!$F$17)=0),"",D11/Datos!$F$17)</f>
        <v>7.0422535211267609E-2</v>
      </c>
      <c r="F11" s="28">
        <f>IF(OR(D11="",N(Datos!$F$17)=0),F10,N(F10)+E11)</f>
        <v>0.90453834115805942</v>
      </c>
      <c r="G11" s="25" t="str">
        <f t="shared" si="0"/>
        <v>Trivial</v>
      </c>
    </row>
    <row r="12" spans="2:7" x14ac:dyDescent="0.3">
      <c r="B12" s="25">
        <v>6</v>
      </c>
      <c r="C12" s="26" t="str">
        <f>IFERROR(INDEX(Datos!$C$7:$C$16,MATCH(6,Datos!$H$7:$H$16,0)),"")</f>
        <v>Burbuja</v>
      </c>
      <c r="D12" s="30">
        <f>IFERROR(INDEX(Datos!$F$7:$F$16,MATCH(6,Datos!$H$7:$H$16,0)),"")</f>
        <v>900</v>
      </c>
      <c r="E12" s="28">
        <f>IF(OR(D12="",N(Datos!$F$17)=0),"",D12/Datos!$F$17)</f>
        <v>7.0422535211267609E-2</v>
      </c>
      <c r="F12" s="28">
        <f>IF(OR(D12="",N(Datos!$F$17)=0),F11,N(F11)+E12)</f>
        <v>0.97496087636932705</v>
      </c>
      <c r="G12" s="25" t="str">
        <f t="shared" si="0"/>
        <v>Trivial</v>
      </c>
    </row>
    <row r="13" spans="2:7" x14ac:dyDescent="0.3">
      <c r="B13" s="25">
        <v>7</v>
      </c>
      <c r="C13" s="26" t="str">
        <f>IFERROR(INDEX(Datos!$C$7:$C$16,MATCH(7,Datos!$H$7:$H$16,0)),"")</f>
        <v>Otros</v>
      </c>
      <c r="D13" s="30">
        <f>IFERROR(INDEX(Datos!$F$7:$F$16,MATCH(7,Datos!$H$7:$H$16,0)),"")</f>
        <v>320</v>
      </c>
      <c r="E13" s="28">
        <f>IF(OR(D13="",N(Datos!$F$17)=0),"",D13/Datos!$F$17)</f>
        <v>2.5039123630672927E-2</v>
      </c>
      <c r="F13" s="28">
        <f>IF(OR(D13="",N(Datos!$F$17)=0),F12,N(F12)+E13)</f>
        <v>1</v>
      </c>
      <c r="G13" s="25" t="str">
        <f t="shared" si="0"/>
        <v>Trivial</v>
      </c>
    </row>
    <row r="14" spans="2:7" x14ac:dyDescent="0.3">
      <c r="B14" s="25">
        <v>8</v>
      </c>
      <c r="C14" s="26" t="str">
        <f>IFERROR(INDEX(Datos!$C$7:$C$16,MATCH(8,Datos!$H$7:$H$16,0)),"")</f>
        <v/>
      </c>
      <c r="D14" s="30" t="str">
        <f>IFERROR(INDEX(Datos!$F$7:$F$16,MATCH(8,Datos!$H$7:$H$16,0)),"")</f>
        <v/>
      </c>
      <c r="E14" s="28" t="str">
        <f>IF(OR(D14="",N(Datos!$F$17)=0),"",D14/Datos!$F$17)</f>
        <v/>
      </c>
      <c r="F14" s="28">
        <f>IF(OR(D14="",N(Datos!$F$17)=0),F13,N(F13)+E14)</f>
        <v>1</v>
      </c>
      <c r="G14" s="25" t="str">
        <f t="shared" si="0"/>
        <v/>
      </c>
    </row>
    <row r="15" spans="2:7" x14ac:dyDescent="0.3">
      <c r="B15" s="25">
        <v>9</v>
      </c>
      <c r="C15" s="26" t="str">
        <f>IFERROR(INDEX(Datos!$C$7:$C$16,MATCH(9,Datos!$H$7:$H$16,0)),"")</f>
        <v/>
      </c>
      <c r="D15" s="30" t="str">
        <f>IFERROR(INDEX(Datos!$F$7:$F$16,MATCH(9,Datos!$H$7:$H$16,0)),"")</f>
        <v/>
      </c>
      <c r="E15" s="28" t="str">
        <f>IF(OR(D15="",N(Datos!$F$17)=0),"",D15/Datos!$F$17)</f>
        <v/>
      </c>
      <c r="F15" s="28">
        <f>IF(OR(D15="",N(Datos!$F$17)=0),F14,N(F14)+E15)</f>
        <v>1</v>
      </c>
      <c r="G15" s="25" t="str">
        <f t="shared" si="0"/>
        <v/>
      </c>
    </row>
    <row r="16" spans="2:7" x14ac:dyDescent="0.3">
      <c r="B16" s="25">
        <v>10</v>
      </c>
      <c r="C16" s="26" t="str">
        <f>IFERROR(INDEX(Datos!$C$7:$C$16,MATCH(10,Datos!$H$7:$H$16,0)),"")</f>
        <v/>
      </c>
      <c r="D16" s="30" t="str">
        <f>IFERROR(INDEX(Datos!$F$7:$F$16,MATCH(10,Datos!$H$7:$H$16,0)),"")</f>
        <v/>
      </c>
      <c r="E16" s="28" t="str">
        <f>IF(OR(D16="",N(Datos!$F$17)=0),"",D16/Datos!$F$17)</f>
        <v/>
      </c>
      <c r="F16" s="28">
        <f>IF(OR(D16="",N(Datos!$F$17)=0),F15,N(F15)+E16)</f>
        <v>1</v>
      </c>
      <c r="G16" s="25" t="str">
        <f t="shared" si="0"/>
        <v/>
      </c>
    </row>
    <row r="17" spans="3:4" x14ac:dyDescent="0.3">
      <c r="C17" s="10" t="s">
        <v>55</v>
      </c>
      <c r="D17" s="31">
        <f>Datos!$F$17</f>
        <v>12780</v>
      </c>
    </row>
    <row r="18" spans="3:4" x14ac:dyDescent="0.3">
      <c r="C18" s="16" t="s">
        <v>64</v>
      </c>
    </row>
  </sheetData>
  <conditionalFormatting sqref="B7:G16">
    <cfRule type="expression" dxfId="1" priority="2">
      <formula>$G7="Vital"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DBE45"/>
    <pageSetUpPr fitToPage="1"/>
  </sheetPr>
  <dimension ref="B2:J19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24" customWidth="1"/>
    <col min="3" max="3" width="14" customWidth="1"/>
    <col min="4" max="4" width="3" customWidth="1"/>
    <col min="5" max="5" width="8" customWidth="1"/>
    <col min="6" max="6" width="24" customWidth="1"/>
    <col min="7" max="7" width="14" customWidth="1"/>
    <col min="8" max="8" width="10" customWidth="1"/>
    <col min="9" max="9" width="12" customWidth="1"/>
    <col min="10" max="10" width="10" customWidth="1"/>
    <col min="11" max="14" width="3" customWidth="1"/>
  </cols>
  <sheetData>
    <row r="2" spans="2:10" ht="22.8" x14ac:dyDescent="0.4">
      <c r="B2" s="1" t="s">
        <v>67</v>
      </c>
    </row>
    <row r="3" spans="2:10" x14ac:dyDescent="0.3">
      <c r="B3" s="2" t="s">
        <v>68</v>
      </c>
    </row>
    <row r="4" spans="2:10" x14ac:dyDescent="0.3">
      <c r="B4" s="3" t="s">
        <v>2</v>
      </c>
    </row>
    <row r="6" spans="2:10" x14ac:dyDescent="0.3">
      <c r="B6" s="10" t="s">
        <v>69</v>
      </c>
      <c r="C6" s="32" t="s">
        <v>70</v>
      </c>
    </row>
    <row r="8" spans="2:10" ht="30" customHeight="1" x14ac:dyDescent="0.3">
      <c r="B8" s="12" t="s">
        <v>71</v>
      </c>
      <c r="C8" s="12" t="s">
        <v>72</v>
      </c>
      <c r="E8" s="12" t="s">
        <v>60</v>
      </c>
      <c r="F8" s="12" t="s">
        <v>71</v>
      </c>
      <c r="G8" s="12" t="s">
        <v>72</v>
      </c>
      <c r="H8" s="12" t="s">
        <v>61</v>
      </c>
      <c r="I8" s="12" t="s">
        <v>73</v>
      </c>
      <c r="J8" s="12" t="s">
        <v>63</v>
      </c>
    </row>
    <row r="9" spans="2:10" x14ac:dyDescent="0.3">
      <c r="B9" s="18" t="s">
        <v>74</v>
      </c>
      <c r="C9" s="18">
        <v>92</v>
      </c>
      <c r="D9" s="33">
        <f>IF(OR(B9="",C9=""),"",SUMPRODUCT(($B$9:$B$16&lt;&gt;"")*($C$9:$C$16&lt;&gt;"")*($C$9:$C$16&gt;C9))+SUMPRODUCT(($B$9:$B9&lt;&gt;"")*($C$9:$C9&lt;&gt;"")*($C$9:$C9=C9)))</f>
        <v>1</v>
      </c>
      <c r="E9" s="26">
        <v>1</v>
      </c>
      <c r="F9" s="26" t="str">
        <f>IFERROR(INDEX($B$9:$B$16,MATCH(1,$D$9:$D$16,0)),"")</f>
        <v>Máquina 3</v>
      </c>
      <c r="G9" s="27">
        <f>IFERROR(INDEX($C$9:$C$16,MATCH(1,$D$9:$D$16,0)),"")</f>
        <v>92</v>
      </c>
      <c r="H9" s="28">
        <f t="shared" ref="H9:H16" si="0">IF(OR(G9="",N($C$17)=0),"",G9/$C$17)</f>
        <v>0.61333333333333329</v>
      </c>
      <c r="I9" s="28">
        <f>IF(OR(G9="",N($C$17)=0),0,H9)</f>
        <v>0.61333333333333329</v>
      </c>
      <c r="J9" s="26" t="str">
        <f>IF(G9="","",IF(0&lt;0.8,"Vital","Trivial"))</f>
        <v>Vital</v>
      </c>
    </row>
    <row r="10" spans="2:10" x14ac:dyDescent="0.3">
      <c r="B10" s="18" t="s">
        <v>75</v>
      </c>
      <c r="C10" s="18">
        <v>31</v>
      </c>
      <c r="D10" s="33">
        <f>IF(OR(B10="",C10=""),"",SUMPRODUCT(($B$9:$B$16&lt;&gt;"")*($C$9:$C$16&lt;&gt;"")*($C$9:$C$16&gt;C10))+SUMPRODUCT(($B$9:$B10&lt;&gt;"")*($C$9:$C10&lt;&gt;"")*($C$9:$C10=C10)))</f>
        <v>2</v>
      </c>
      <c r="E10" s="26">
        <v>2</v>
      </c>
      <c r="F10" s="26" t="str">
        <f>IFERROR(INDEX($B$9:$B$16,MATCH(2,$D$9:$D$16,0)),"")</f>
        <v>Máquina 1</v>
      </c>
      <c r="G10" s="27">
        <f>IFERROR(INDEX($C$9:$C$16,MATCH(2,$D$9:$D$16,0)),"")</f>
        <v>31</v>
      </c>
      <c r="H10" s="28">
        <f t="shared" si="0"/>
        <v>0.20666666666666667</v>
      </c>
      <c r="I10" s="28">
        <f t="shared" ref="I10:I16" si="1">IF(OR(G10="",N($C$17)=0),N(I9),N(I9)+H10)</f>
        <v>0.82</v>
      </c>
      <c r="J10" s="26" t="str">
        <f t="shared" ref="J10:J16" si="2">IF(G10="","",IF(N(I9)&lt;0.8,"Vital","Trivial"))</f>
        <v>Vital</v>
      </c>
    </row>
    <row r="11" spans="2:10" x14ac:dyDescent="0.3">
      <c r="B11" s="18" t="s">
        <v>76</v>
      </c>
      <c r="C11" s="18">
        <v>18</v>
      </c>
      <c r="D11" s="33">
        <f>IF(OR(B11="",C11=""),"",SUMPRODUCT(($B$9:$B$16&lt;&gt;"")*($C$9:$C$16&lt;&gt;"")*($C$9:$C$16&gt;C11))+SUMPRODUCT(($B$9:$B11&lt;&gt;"")*($C$9:$C11&lt;&gt;"")*($C$9:$C11=C11)))</f>
        <v>3</v>
      </c>
      <c r="E11" s="26">
        <v>3</v>
      </c>
      <c r="F11" s="26" t="str">
        <f>IFERROR(INDEX($B$9:$B$16,MATCH(3,$D$9:$D$16,0)),"")</f>
        <v>Máquina 2</v>
      </c>
      <c r="G11" s="27">
        <f>IFERROR(INDEX($C$9:$C$16,MATCH(3,$D$9:$D$16,0)),"")</f>
        <v>18</v>
      </c>
      <c r="H11" s="28">
        <f t="shared" si="0"/>
        <v>0.12</v>
      </c>
      <c r="I11" s="28">
        <f t="shared" si="1"/>
        <v>0.94</v>
      </c>
      <c r="J11" s="26" t="str">
        <f t="shared" si="2"/>
        <v>Trivial</v>
      </c>
    </row>
    <row r="12" spans="2:10" x14ac:dyDescent="0.3">
      <c r="B12" s="18" t="s">
        <v>77</v>
      </c>
      <c r="C12" s="18">
        <v>9</v>
      </c>
      <c r="D12" s="33">
        <f>IF(OR(B12="",C12=""),"",SUMPRODUCT(($B$9:$B$16&lt;&gt;"")*($C$9:$C$16&lt;&gt;"")*($C$9:$C$16&gt;C12))+SUMPRODUCT(($B$9:$B12&lt;&gt;"")*($C$9:$C12&lt;&gt;"")*($C$9:$C12=C12)))</f>
        <v>4</v>
      </c>
      <c r="E12" s="26">
        <v>4</v>
      </c>
      <c r="F12" s="26" t="str">
        <f>IFERROR(INDEX($B$9:$B$16,MATCH(4,$D$9:$D$16,0)),"")</f>
        <v>Máquina 4</v>
      </c>
      <c r="G12" s="27">
        <f>IFERROR(INDEX($C$9:$C$16,MATCH(4,$D$9:$D$16,0)),"")</f>
        <v>9</v>
      </c>
      <c r="H12" s="28">
        <f t="shared" si="0"/>
        <v>0.06</v>
      </c>
      <c r="I12" s="28">
        <f t="shared" si="1"/>
        <v>1</v>
      </c>
      <c r="J12" s="26" t="str">
        <f t="shared" si="2"/>
        <v>Trivial</v>
      </c>
    </row>
    <row r="13" spans="2:10" x14ac:dyDescent="0.3">
      <c r="B13" s="18"/>
      <c r="C13" s="18"/>
      <c r="D13" s="33" t="str">
        <f>IF(OR(B13="",C13=""),"",SUMPRODUCT(($B$9:$B$16&lt;&gt;"")*($C$9:$C$16&lt;&gt;"")*($C$9:$C$16&gt;C13))+SUMPRODUCT(($B$9:$B13&lt;&gt;"")*($C$9:$C13&lt;&gt;"")*($C$9:$C13=C13)))</f>
        <v/>
      </c>
      <c r="E13" s="26">
        <v>5</v>
      </c>
      <c r="F13" s="26" t="str">
        <f>IFERROR(INDEX($B$9:$B$16,MATCH(5,$D$9:$D$16,0)),"")</f>
        <v/>
      </c>
      <c r="G13" s="27" t="str">
        <f>IFERROR(INDEX($C$9:$C$16,MATCH(5,$D$9:$D$16,0)),"")</f>
        <v/>
      </c>
      <c r="H13" s="28" t="str">
        <f t="shared" si="0"/>
        <v/>
      </c>
      <c r="I13" s="28">
        <f t="shared" si="1"/>
        <v>1</v>
      </c>
      <c r="J13" s="26" t="str">
        <f t="shared" si="2"/>
        <v/>
      </c>
    </row>
    <row r="14" spans="2:10" x14ac:dyDescent="0.3">
      <c r="B14" s="18"/>
      <c r="C14" s="18"/>
      <c r="D14" s="33" t="str">
        <f>IF(OR(B14="",C14=""),"",SUMPRODUCT(($B$9:$B$16&lt;&gt;"")*($C$9:$C$16&lt;&gt;"")*($C$9:$C$16&gt;C14))+SUMPRODUCT(($B$9:$B14&lt;&gt;"")*($C$9:$C14&lt;&gt;"")*($C$9:$C14=C14)))</f>
        <v/>
      </c>
      <c r="E14" s="26">
        <v>6</v>
      </c>
      <c r="F14" s="26" t="str">
        <f>IFERROR(INDEX($B$9:$B$16,MATCH(6,$D$9:$D$16,0)),"")</f>
        <v/>
      </c>
      <c r="G14" s="27" t="str">
        <f>IFERROR(INDEX($C$9:$C$16,MATCH(6,$D$9:$D$16,0)),"")</f>
        <v/>
      </c>
      <c r="H14" s="28" t="str">
        <f t="shared" si="0"/>
        <v/>
      </c>
      <c r="I14" s="28">
        <f t="shared" si="1"/>
        <v>1</v>
      </c>
      <c r="J14" s="26" t="str">
        <f t="shared" si="2"/>
        <v/>
      </c>
    </row>
    <row r="15" spans="2:10" x14ac:dyDescent="0.3">
      <c r="B15" s="18"/>
      <c r="C15" s="18"/>
      <c r="D15" s="33" t="str">
        <f>IF(OR(B15="",C15=""),"",SUMPRODUCT(($B$9:$B$16&lt;&gt;"")*($C$9:$C$16&lt;&gt;"")*($C$9:$C$16&gt;C15))+SUMPRODUCT(($B$9:$B15&lt;&gt;"")*($C$9:$C15&lt;&gt;"")*($C$9:$C15=C15)))</f>
        <v/>
      </c>
      <c r="E15" s="26">
        <v>7</v>
      </c>
      <c r="F15" s="26" t="str">
        <f>IFERROR(INDEX($B$9:$B$16,MATCH(7,$D$9:$D$16,0)),"")</f>
        <v/>
      </c>
      <c r="G15" s="27" t="str">
        <f>IFERROR(INDEX($C$9:$C$16,MATCH(7,$D$9:$D$16,0)),"")</f>
        <v/>
      </c>
      <c r="H15" s="28" t="str">
        <f t="shared" si="0"/>
        <v/>
      </c>
      <c r="I15" s="28">
        <f t="shared" si="1"/>
        <v>1</v>
      </c>
      <c r="J15" s="26" t="str">
        <f t="shared" si="2"/>
        <v/>
      </c>
    </row>
    <row r="16" spans="2:10" x14ac:dyDescent="0.3">
      <c r="B16" s="18"/>
      <c r="C16" s="18"/>
      <c r="D16" s="33" t="str">
        <f>IF(OR(B16="",C16=""),"",SUMPRODUCT(($B$9:$B$16&lt;&gt;"")*($C$9:$C$16&lt;&gt;"")*($C$9:$C$16&gt;C16))+SUMPRODUCT(($B$9:$B16&lt;&gt;"")*($C$9:$C16&lt;&gt;"")*($C$9:$C16=C16)))</f>
        <v/>
      </c>
      <c r="E16" s="26">
        <v>8</v>
      </c>
      <c r="F16" s="26" t="str">
        <f>IFERROR(INDEX($B$9:$B$16,MATCH(8,$D$9:$D$16,0)),"")</f>
        <v/>
      </c>
      <c r="G16" s="27" t="str">
        <f>IFERROR(INDEX($C$9:$C$16,MATCH(8,$D$9:$D$16,0)),"")</f>
        <v/>
      </c>
      <c r="H16" s="28" t="str">
        <f t="shared" si="0"/>
        <v/>
      </c>
      <c r="I16" s="28">
        <f t="shared" si="1"/>
        <v>1</v>
      </c>
      <c r="J16" s="26" t="str">
        <f t="shared" si="2"/>
        <v/>
      </c>
    </row>
    <row r="17" spans="2:3" x14ac:dyDescent="0.3">
      <c r="B17" s="10" t="s">
        <v>55</v>
      </c>
      <c r="C17" s="10">
        <f>SUM(C9:C16)</f>
        <v>150</v>
      </c>
    </row>
    <row r="19" spans="2:3" x14ac:dyDescent="0.3">
      <c r="B19" s="16" t="s">
        <v>78</v>
      </c>
    </row>
  </sheetData>
  <conditionalFormatting sqref="E9:J16">
    <cfRule type="expression" dxfId="0" priority="2">
      <formula>$J9="Vital"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Hoja de verificación</vt:lpstr>
      <vt:lpstr>Datos</vt:lpstr>
      <vt:lpstr>Pareto frecuencia</vt:lpstr>
      <vt:lpstr>Pareto costo</vt:lpstr>
      <vt:lpstr>2º nivel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Omar Sierra</cp:lastModifiedBy>
  <cp:revision>1</cp:revision>
  <dcterms:created xsi:type="dcterms:W3CDTF">2026-10-28T00:36:51Z</dcterms:created>
  <dcterms:modified xsi:type="dcterms:W3CDTF">2026-10-28T03:13:34Z</dcterms:modified>
  <dc:language>en-US</dc:language>
</cp:coreProperties>
</file>